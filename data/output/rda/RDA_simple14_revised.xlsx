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hid\dmpbridge\data\output\rda\"/>
    </mc:Choice>
  </mc:AlternateContent>
  <xr:revisionPtr revIDLastSave="0" documentId="13_ncr:1_{457FCDB3-FD39-4B8C-8F91-7855CDAD69F4}" xr6:coauthVersionLast="47" xr6:coauthVersionMax="47" xr10:uidLastSave="{00000000-0000-0000-0000-000000000000}"/>
  <bookViews>
    <workbookView xWindow="-120" yWindow="-120" windowWidth="29040" windowHeight="15720" xr2:uid="{00000000-000D-0000-FFFF-FFFF00000000}"/>
  </bookViews>
  <sheets>
    <sheet name="Sample14-Manual annotation" sheetId="1" r:id="rId1"/>
    <sheet name="Reference (JSON)" sheetId="2" r:id="rId2"/>
    <sheet name="sample14-llama3.1-8b" sheetId="3" r:id="rId3"/>
    <sheet name="sample14-gemma4-e4b" sheetId="4" r:id="rId4"/>
    <sheet name="sample14-version1-llama3.3-70b" sheetId="5" r:id="rId5"/>
    <sheet name="summary"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6" l="1"/>
  <c r="C8" i="6"/>
  <c r="B8" i="6"/>
  <c r="D7" i="6"/>
  <c r="C7" i="6"/>
  <c r="B7" i="6"/>
  <c r="D6" i="6"/>
  <c r="C6" i="6"/>
  <c r="C9" i="6" s="1"/>
  <c r="B6" i="6"/>
  <c r="D5" i="6"/>
  <c r="C5" i="6"/>
  <c r="B5" i="6"/>
  <c r="D4" i="6"/>
  <c r="D18" i="6" s="1"/>
  <c r="C4" i="6"/>
  <c r="C18" i="6" s="1"/>
  <c r="B4" i="6"/>
  <c r="B18" i="6" s="1"/>
  <c r="C13" i="6" l="1"/>
  <c r="C14" i="6"/>
  <c r="C17" i="6"/>
  <c r="C19" i="6" s="1"/>
  <c r="B9" i="6"/>
  <c r="B14" i="6" s="1"/>
  <c r="D9" i="6"/>
  <c r="D12" i="6" s="1"/>
  <c r="C12" i="6"/>
  <c r="B17" i="6"/>
  <c r="B19" i="6" s="1"/>
  <c r="D17" i="6"/>
  <c r="D19" i="6" s="1"/>
  <c r="D14" i="6" l="1"/>
  <c r="D13" i="6"/>
  <c r="B13" i="6"/>
  <c r="B12" i="6"/>
</calcChain>
</file>

<file path=xl/sharedStrings.xml><?xml version="1.0" encoding="utf-8"?>
<sst xmlns="http://schemas.openxmlformats.org/spreadsheetml/2006/main" count="1970" uniqueCount="406">
  <si>
    <t>Field</t>
  </si>
  <si>
    <t>sample14- values from the PDF</t>
  </si>
  <si>
    <t>Item 1</t>
  </si>
  <si>
    <t>Item 2</t>
  </si>
  <si>
    <t>Item 3</t>
  </si>
  <si>
    <t>Item 4</t>
  </si>
  <si>
    <t>Item 5</t>
  </si>
  <si>
    <t>Item 6</t>
  </si>
  <si>
    <t>Item 7</t>
  </si>
  <si>
    <t>Item 8</t>
  </si>
  <si>
    <t>Item 9</t>
  </si>
  <si>
    <t>Item 10</t>
  </si>
  <si>
    <t>Item 11</t>
  </si>
  <si>
    <t>$</t>
  </si>
  <si>
    <t>dmp</t>
  </si>
  <si>
    <t>dmp.title</t>
  </si>
  <si>
    <t>Hakai Institute Juvenile Salmon Program Time Series</t>
  </si>
  <si>
    <t>dmp.description</t>
  </si>
  <si>
    <t>dmp.dmp_id</t>
  </si>
  <si>
    <t>dmp.dmp_id.identifier</t>
  </si>
  <si>
    <t>https://doi.org/10.48321/D1CW23</t>
  </si>
  <si>
    <t>dmp.dmp_id.type</t>
  </si>
  <si>
    <t>doi</t>
  </si>
  <si>
    <t>dmp.created</t>
  </si>
  <si>
    <t>2015-05-12T00:00:00Z</t>
  </si>
  <si>
    <t>dmp.modified</t>
  </si>
  <si>
    <t>2024-06-11T00:00:00Z</t>
  </si>
  <si>
    <t>dmp.ethical_issues_exist</t>
  </si>
  <si>
    <t>no</t>
  </si>
  <si>
    <t>dmp.ethical_issues_description</t>
  </si>
  <si>
    <t>dmp.ethical_issues_report</t>
  </si>
  <si>
    <t>dmp.language</t>
  </si>
  <si>
    <t>eng</t>
  </si>
  <si>
    <t>dmp.contact</t>
  </si>
  <si>
    <t>dmp.contact.name</t>
  </si>
  <si>
    <t>Brett Johnson</t>
  </si>
  <si>
    <t>dmp.contact.mbox</t>
  </si>
  <si>
    <t>dmp.contact.affiliation</t>
  </si>
  <si>
    <t>dmp.contact.affiliation[]</t>
  </si>
  <si>
    <t>dmp.contact.affiliation[].name</t>
  </si>
  <si>
    <t>Hakai Institute</t>
  </si>
  <si>
    <t>dmp.contact.affiliation[].affiliation_id</t>
  </si>
  <si>
    <t>dmp.contact.affiliation[].affiliation_id.identifier</t>
  </si>
  <si>
    <t>dmp.contact.affiliation[].affiliation_id.type</t>
  </si>
  <si>
    <t>dmp.contact.contact_id</t>
  </si>
  <si>
    <t>dmp.contact.contact_id[]</t>
  </si>
  <si>
    <t>dmp.contact.contact_id[].identifier</t>
  </si>
  <si>
    <t>0000-0001-9317-0364</t>
  </si>
  <si>
    <t>dmp.contact.contact_id[].type</t>
  </si>
  <si>
    <t>orcid</t>
  </si>
  <si>
    <t>dmp.contributor</t>
  </si>
  <si>
    <t>dmp.contributor[]</t>
  </si>
  <si>
    <t>dmp.contributor[].name</t>
  </si>
  <si>
    <t>Brian Hunt</t>
  </si>
  <si>
    <t>Tim van der Stap</t>
  </si>
  <si>
    <t>Krystal Bachen</t>
  </si>
  <si>
    <t>dmp.contributor[].contributor_id</t>
  </si>
  <si>
    <t>dmp.contributor[].contributor_id[]</t>
  </si>
  <si>
    <t>dmp.contributor[].contributor_id[].identifier</t>
  </si>
  <si>
    <t>dmp.contributor[].contributor_id[].type</t>
  </si>
  <si>
    <t>dmp.contributor[].affiliation</t>
  </si>
  <si>
    <t>dmp.contributor[].affiliation[]</t>
  </si>
  <si>
    <t>dmp.contributor[].affiliation[].name</t>
  </si>
  <si>
    <t>dmp.contributor[].affiliation[].affiliation_id</t>
  </si>
  <si>
    <t>dmp.contributor[].affiliation[].affiliation_id.identifier</t>
  </si>
  <si>
    <t>dmp.contributor[].affiliation[].affiliation_id.type</t>
  </si>
  <si>
    <t>dmp.contributor[].role</t>
  </si>
  <si>
    <t>dmp.contributor[].role[]</t>
  </si>
  <si>
    <t>Principal Investigator; Data Manager</t>
  </si>
  <si>
    <t>Principal Investigator</t>
  </si>
  <si>
    <t>Data Manager</t>
  </si>
  <si>
    <t>dmp.dataset</t>
  </si>
  <si>
    <t>dmp.dataset[]</t>
  </si>
  <si>
    <t>dmp.dataset[].title</t>
  </si>
  <si>
    <t>Fatty acids from juvenile salmon</t>
  </si>
  <si>
    <t>Otolith Microchemistry from juvenile sockeye</t>
  </si>
  <si>
    <t>Sealice microbiome viral and bacterial data</t>
  </si>
  <si>
    <t>Stable isotope ratios from juvenile salmon muscle tissue</t>
  </si>
  <si>
    <t>Zooplankton Isotopes from JSP surface horizontal tows</t>
  </si>
  <si>
    <t>eDNA from JSP seines</t>
  </si>
  <si>
    <t>Zooplankton Taxonomy from JSP and Oceanography horizontal surface tows</t>
  </si>
  <si>
    <t>RNA pathogen and gene expression data: Fitchip data from sockeye</t>
  </si>
  <si>
    <t>Genetic stock identification of sockeye</t>
  </si>
  <si>
    <t>Scales collected from sockeye, pink, chum, coho, chinook and herring</t>
  </si>
  <si>
    <t>dmp.dataset[].type</t>
  </si>
  <si>
    <t>dataset</t>
  </si>
  <si>
    <t>dmp.dataset[].description</t>
  </si>
  <si>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</si>
  <si>
    <t>This dataset will include fatty acid data derived from juvenile salmon tissue samples. Alicia Andersen is going to provide this dataset.</t>
  </si>
  <si>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</si>
  <si>
    <t>The responsible parties for this dataset are Tianyi Chang and Curtis Suttle. Need an update from Tianyi</t>
  </si>
  <si>
    <t>This dataset will contain isotope data obtained from juvenile salmon caught during the JSP. The responsible party for this dataset is Brian Hunt.</t>
  </si>
  <si>
    <t>This dataset will contain isotope data obtained from the zooplankton caught as part of the Juvenile Salmon Program (JSP). Brian Hunt is the responsible party for this dataset.</t>
  </si>
  <si>
    <t>Environmental DNA (eDNA) is collected as part of the Juvenile Salmon Program field operations, starting in 2020. The responsible party for this dataset is Natalie Benoit (UBC).</t>
  </si>
  <si>
    <t>An integration of Sam James, Vanessa Fladmark, and Natalie Mahara's zooplankton taxonomy from horizontal surface tows in the Discovery Islands and Johnstone Strait.</t>
  </si>
  <si>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</si>
  <si>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</si>
  <si>
    <t>Scales are collected for every salmon and herring and archived. No analysis has been completed at this stage nor is any planned.</t>
  </si>
  <si>
    <t>dmp.dataset[].dataset_id</t>
  </si>
  <si>
    <t>dmp.dataset[].dataset_id.identifier</t>
  </si>
  <si>
    <t>https://doi.org/10.21966/1.566666</t>
  </si>
  <si>
    <t>dmp.dataset[].dataset_id.type</t>
  </si>
  <si>
    <t>dmp.dataset[].personal_data</t>
  </si>
  <si>
    <t>dmp.dataset[].sensitive_data</t>
  </si>
  <si>
    <t>dmp.dataset[].issued</t>
  </si>
  <si>
    <t>dmp.dataset[].metadata</t>
  </si>
  <si>
    <t>dmp.dataset[].metadata[]</t>
  </si>
  <si>
    <t>dmp.dataset[].metadata[].description</t>
  </si>
  <si>
    <t>dmp.dataset[].metadata[].language</t>
  </si>
  <si>
    <t>dmp.dataset[].metadata[].metadata_standard_id</t>
  </si>
  <si>
    <t>dmp.dataset[].metadata[].metadata_standard_id[]</t>
  </si>
  <si>
    <t>dmp.dataset[].metadata[].metadata_standard_id[].identifier</t>
  </si>
  <si>
    <t>ISO 19115</t>
  </si>
  <si>
    <t>ISO 19115 North American Profile; ISO 19115</t>
  </si>
  <si>
    <t>dmp.dataset[].metadata[].metadata_standard_id[].type</t>
  </si>
  <si>
    <t>dmp.dataset[].distribution</t>
  </si>
  <si>
    <t>dmp.dataset[].distribution[]</t>
  </si>
  <si>
    <t>dmp.dataset[].distribution[].title</t>
  </si>
  <si>
    <t>Hakai JSP Time Series</t>
  </si>
  <si>
    <t>dmp.dataset[].distribution[].byte_size</t>
  </si>
  <si>
    <t>dmp.dataset[].distribution[].issued</t>
  </si>
  <si>
    <t>2024-04-13</t>
  </si>
  <si>
    <t>2022-03-30</t>
  </si>
  <si>
    <t>dmp.dataset[].distribution[].data_access</t>
  </si>
  <si>
    <t>open</t>
  </si>
  <si>
    <t>dmp.dataset[].distribution[].license</t>
  </si>
  <si>
    <t>dmp.dataset[].distribution[].license[]</t>
  </si>
  <si>
    <t>dmp.dataset[].distribution[].license[].license_ref</t>
  </si>
  <si>
    <t>CC BY 4.0</t>
  </si>
  <si>
    <t>dmp.dataset[].distribution[].license[].start_date</t>
  </si>
  <si>
    <t>dmp.dataset[].distribution[].host</t>
  </si>
  <si>
    <t>dmp.dataset[].distribution[].host.title</t>
  </si>
  <si>
    <t>Hakai JSP GitHub repository</t>
  </si>
  <si>
    <t>Hakai EIMS</t>
  </si>
  <si>
    <t>Ocean Biodiversity Information System</t>
  </si>
  <si>
    <t>Hakai EIMS; Ocean Biogeographic Information System</t>
  </si>
  <si>
    <t>Ocean Biogeographic Information System</t>
  </si>
  <si>
    <t>dmp.dataset[].distribution[].host.url</t>
  </si>
  <si>
    <t>https://github.com/hakaiinstitute/jsp-data</t>
  </si>
  <si>
    <t>dmp.dataset[].distribution[].host.host_id</t>
  </si>
  <si>
    <t>dmp.dataset[].distribution[].host.host_id[]</t>
  </si>
  <si>
    <t>dmp.dataset[].distribution[].host.host_id[].identifier</t>
  </si>
  <si>
    <t>dmp.dataset[].distribution[].host.host_id[].type</t>
  </si>
  <si>
    <t>dmp.related_identifier</t>
  </si>
  <si>
    <t>dmp.related_identifier[]</t>
  </si>
  <si>
    <t>dmp.related_identifier[].identifier</t>
  </si>
  <si>
    <t>https://doi.org/10.26428/1606-9919-2021-201-669-685</t>
  </si>
  <si>
    <t>dmp.related_identifier[].relation_type</t>
  </si>
  <si>
    <t>dmp.related_identifier[].resource_type</t>
  </si>
  <si>
    <t>dmp.related_identifier[].type</t>
  </si>
  <si>
    <t>dmp.alternate_identifier</t>
  </si>
  <si>
    <t>dmp.alternate_identifier[]</t>
  </si>
  <si>
    <t>dmp.alternate_identifier[].identifier</t>
  </si>
  <si>
    <t>dmp.alternate_identifier[].type</t>
  </si>
  <si>
    <t>dmp.project</t>
  </si>
  <si>
    <t>dmp.project[]</t>
  </si>
  <si>
    <t>dmp.project[].title</t>
  </si>
  <si>
    <t>dmp.project[].description</t>
  </si>
  <si>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</si>
  <si>
    <t>dmp.project[].project_id</t>
  </si>
  <si>
    <t>dmp.project[].project_id[]</t>
  </si>
  <si>
    <t>dmp.project[].project_id[].identifier</t>
  </si>
  <si>
    <t>dmp.project[].project_id[].type</t>
  </si>
  <si>
    <t>dmp.project[].start</t>
  </si>
  <si>
    <t>2015-05-12</t>
  </si>
  <si>
    <t>dmp.project[].end</t>
  </si>
  <si>
    <t>2023-07-05</t>
  </si>
  <si>
    <t>dmp.project[].funding</t>
  </si>
  <si>
    <t>dmp.project[].funding[]</t>
  </si>
  <si>
    <t>dmp.project[].funding[].name</t>
  </si>
  <si>
    <t>Tula Foundation</t>
  </si>
  <si>
    <t>dmp.project[].funding[].funding_status</t>
  </si>
  <si>
    <t>dmp.project[].funding[].funder_id</t>
  </si>
  <si>
    <t>dmp.project[].funding[].funder_id.identifier</t>
  </si>
  <si>
    <t>dmp.project[].funding[].funder_id.type</t>
  </si>
  <si>
    <t>dmp.project[].funding[].grant_id</t>
  </si>
  <si>
    <t>dmp.project[].funding[].grant_id[]</t>
  </si>
  <si>
    <t>dmp.project[].funding[].grant_id[].identifier</t>
  </si>
  <si>
    <t>dmp.project[].funding[].grant_id[].type</t>
  </si>
  <si>
    <t>rda_schema_version</t>
  </si>
  <si>
    <t>provenance</t>
  </si>
  <si>
    <t>status</t>
  </si>
  <si>
    <t>privacy</t>
  </si>
  <si>
    <t>featured</t>
  </si>
  <si>
    <t>registered</t>
  </si>
  <si>
    <t>research_domain</t>
  </si>
  <si>
    <t>research_domain.name</t>
  </si>
  <si>
    <t>research_domain.research_domain_identifier</t>
  </si>
  <si>
    <t>research_domain.research_domain_identifier.identifier</t>
  </si>
  <si>
    <t>research_domain.research_domain_identifier.type</t>
  </si>
  <si>
    <t>research_facility</t>
  </si>
  <si>
    <t>research_facility[]</t>
  </si>
  <si>
    <t>research_facility[].name</t>
  </si>
  <si>
    <t>research_facility[].type</t>
  </si>
  <si>
    <t>research_facility[].research_facility_identifier</t>
  </si>
  <si>
    <t>research_facility[].research_facility_identifier.identifier</t>
  </si>
  <si>
    <t>research_facility[].research_facility_identifier.type</t>
  </si>
  <si>
    <t>funding_opportunity</t>
  </si>
  <si>
    <t>funding_opportunity[]</t>
  </si>
  <si>
    <t>funding_opportunity[].project_id</t>
  </si>
  <si>
    <t>funding_opportunity[].project_id.identifier</t>
  </si>
  <si>
    <t>funding_opportunity[].project_id.type</t>
  </si>
  <si>
    <t>funding_opportunity[].funder_id</t>
  </si>
  <si>
    <t>funding_opportunity[].funder_id.identifier</t>
  </si>
  <si>
    <t>funding_opportunity[].funder_id.type</t>
  </si>
  <si>
    <t>funding_opportunity[].opportunity_identifier</t>
  </si>
  <si>
    <t>funding_opportunity[].opportunity_identifier.identifier</t>
  </si>
  <si>
    <t>funding_opportunity[].opportunity_identifier.type</t>
  </si>
  <si>
    <t>funding_project</t>
  </si>
  <si>
    <t>funding_project[]</t>
  </si>
  <si>
    <t>funding_project[].project_id</t>
  </si>
  <si>
    <t>funding_project[].project_id.identifier</t>
  </si>
  <si>
    <t>funding_project[].project_id.type</t>
  </si>
  <si>
    <t>funding_project[].funder_id</t>
  </si>
  <si>
    <t>funding_project[].funder_id.identifier</t>
  </si>
  <si>
    <t>funding_project[].funder_id.type</t>
  </si>
  <si>
    <t>funding_project[].project_identifier</t>
  </si>
  <si>
    <t>funding_project[].project_identifier.identifier</t>
  </si>
  <si>
    <t>funding_project[].project_identifier.type</t>
  </si>
  <si>
    <t>version</t>
  </si>
  <si>
    <t>version[]</t>
  </si>
  <si>
    <t>version[].access_url</t>
  </si>
  <si>
    <t>version[].version</t>
  </si>
  <si>
    <t>Regenerated from RDA_DMP_sample14_manual_annotation.json on 2026-10-02: 134 values. Item k = the k-th dataset / contributor; lists nested below that are joined with '; '.</t>
  </si>
  <si>
    <t>Value</t>
  </si>
  <si>
    <t>dmp.contact.affiliation[0].name</t>
  </si>
  <si>
    <t>dmp.contact.contact_id[0].identifier</t>
  </si>
  <si>
    <t>dmp.contact.contact_id[0].type</t>
  </si>
  <si>
    <t>dmp.contributor[0].name</t>
  </si>
  <si>
    <t>dmp.contributor[0].role[0]</t>
  </si>
  <si>
    <t>dmp.contributor[0].role[1]</t>
  </si>
  <si>
    <t>dmp.contributor[1].name</t>
  </si>
  <si>
    <t>dmp.contributor[1].role[0]</t>
  </si>
  <si>
    <t>dmp.contributor[2].name</t>
  </si>
  <si>
    <t>dmp.contributor[2].role[0]</t>
  </si>
  <si>
    <t>dmp.contributor[3].name</t>
  </si>
  <si>
    <t>dmp.contributor[3].role[0]</t>
  </si>
  <si>
    <t>dmp.dataset[0].title</t>
  </si>
  <si>
    <t>dmp.dataset[0].type</t>
  </si>
  <si>
    <t>dmp.dataset[0].description</t>
  </si>
  <si>
    <t>dmp.dataset[0].dataset_id.identifier</t>
  </si>
  <si>
    <t>dmp.dataset[0].dataset_id.type</t>
  </si>
  <si>
    <t>dmp.dataset[0].personal_data</t>
  </si>
  <si>
    <t>dmp.dataset[0].sensitive_data</t>
  </si>
  <si>
    <t>dmp.dataset[0].distribution[0].title</t>
  </si>
  <si>
    <t>dmp.dataset[0].distribution[0].data_access</t>
  </si>
  <si>
    <t>dmp.dataset[0].distribution[0].license[0].license_ref</t>
  </si>
  <si>
    <t>dmp.dataset[0].distribution[0].host.title</t>
  </si>
  <si>
    <t>dmp.dataset[0].distribution[0].host.url</t>
  </si>
  <si>
    <t>dmp.dataset[1].title</t>
  </si>
  <si>
    <t>dmp.dataset[1].type</t>
  </si>
  <si>
    <t>dmp.dataset[1].description</t>
  </si>
  <si>
    <t>dmp.dataset[1].personal_data</t>
  </si>
  <si>
    <t>dmp.dataset[1].sensitive_data</t>
  </si>
  <si>
    <t>dmp.dataset[1].metadata[0].language</t>
  </si>
  <si>
    <t>dmp.dataset[1].metadata[0].metadata_standard_id[0].identifier</t>
  </si>
  <si>
    <t>dmp.dataset[1].distribution[0].data_access</t>
  </si>
  <si>
    <t>dmp.dataset[1].distribution[0].license[0].license_ref</t>
  </si>
  <si>
    <t>dmp.dataset[1].distribution[0].host.title</t>
  </si>
  <si>
    <t>dmp.dataset[2].title</t>
  </si>
  <si>
    <t>dmp.dataset[2].type</t>
  </si>
  <si>
    <t>dmp.dataset[2].description</t>
  </si>
  <si>
    <t>dmp.dataset[2].personal_data</t>
  </si>
  <si>
    <t>dmp.dataset[2].sensitive_data</t>
  </si>
  <si>
    <t>dmp.dataset[2].metadata[0].language</t>
  </si>
  <si>
    <t>dmp.dataset[2].distribution[0].data_access</t>
  </si>
  <si>
    <t>dmp.dataset[2].distribution[0].license[0].license_ref</t>
  </si>
  <si>
    <t>dmp.dataset[2].distribution[0].host.title</t>
  </si>
  <si>
    <t>dmp.dataset[3].title</t>
  </si>
  <si>
    <t>dmp.dataset[3].type</t>
  </si>
  <si>
    <t>dmp.dataset[3].description</t>
  </si>
  <si>
    <t>dmp.dataset[3].personal_data</t>
  </si>
  <si>
    <t>dmp.dataset[3].sensitive_data</t>
  </si>
  <si>
    <t>dmp.dataset[3].metadata[0].language</t>
  </si>
  <si>
    <t>dmp.dataset[3].distribution[0].data_access</t>
  </si>
  <si>
    <t>dmp.dataset[3].distribution[0].license[0].license_ref</t>
  </si>
  <si>
    <t>dmp.dataset[4].title</t>
  </si>
  <si>
    <t>dmp.dataset[4].type</t>
  </si>
  <si>
    <t>dmp.dataset[4].description</t>
  </si>
  <si>
    <t>dmp.dataset[4].personal_data</t>
  </si>
  <si>
    <t>dmp.dataset[4].sensitive_data</t>
  </si>
  <si>
    <t>dmp.dataset[4].metadata[0].language</t>
  </si>
  <si>
    <t>dmp.dataset[4].metadata[0].metadata_standard_id[0].identifier</t>
  </si>
  <si>
    <t>dmp.dataset[4].distribution[0].data_access</t>
  </si>
  <si>
    <t>dmp.dataset[4].distribution[0].license[0].license_ref</t>
  </si>
  <si>
    <t>dmp.dataset[4].distribution[0].host.title</t>
  </si>
  <si>
    <t>dmp.dataset[5].title</t>
  </si>
  <si>
    <t>dmp.dataset[5].type</t>
  </si>
  <si>
    <t>dmp.dataset[5].description</t>
  </si>
  <si>
    <t>dmp.dataset[5].personal_data</t>
  </si>
  <si>
    <t>dmp.dataset[5].sensitive_data</t>
  </si>
  <si>
    <t>dmp.dataset[5].metadata[0].language</t>
  </si>
  <si>
    <t>dmp.dataset[5].distribution[0].data_access</t>
  </si>
  <si>
    <t>dmp.dataset[5].distribution[0].license[0].license_ref</t>
  </si>
  <si>
    <t>dmp.dataset[6].title</t>
  </si>
  <si>
    <t>dmp.dataset[6].type</t>
  </si>
  <si>
    <t>dmp.dataset[6].description</t>
  </si>
  <si>
    <t>dmp.dataset[6].personal_data</t>
  </si>
  <si>
    <t>dmp.dataset[6].sensitive_data</t>
  </si>
  <si>
    <t>dmp.dataset[6].metadata[0].language</t>
  </si>
  <si>
    <t>dmp.dataset[6].metadata[0].metadata_standard_id[0].identifier</t>
  </si>
  <si>
    <t>ISO 19115 North American Profile</t>
  </si>
  <si>
    <t>dmp.dataset[6].metadata[0].metadata_standard_id[1].identifier</t>
  </si>
  <si>
    <t>dmp.dataset[6].distribution[0].issued</t>
  </si>
  <si>
    <t>dmp.dataset[6].distribution[0].data_access</t>
  </si>
  <si>
    <t>dmp.dataset[6].distribution[0].license[0].license_ref</t>
  </si>
  <si>
    <t>dmp.dataset[6].distribution[0].host.title</t>
  </si>
  <si>
    <t>dmp.dataset[7].title</t>
  </si>
  <si>
    <t>dmp.dataset[7].type</t>
  </si>
  <si>
    <t>dmp.dataset[7].description</t>
  </si>
  <si>
    <t>dmp.dataset[7].personal_data</t>
  </si>
  <si>
    <t>dmp.dataset[7].sensitive_data</t>
  </si>
  <si>
    <t>dmp.dataset[7].metadata[0].language</t>
  </si>
  <si>
    <t>dmp.dataset[7].distribution[0].issued</t>
  </si>
  <si>
    <t>dmp.dataset[7].distribution[0].data_access</t>
  </si>
  <si>
    <t>dmp.dataset[7].distribution[0].license[0].license_ref</t>
  </si>
  <si>
    <t>dmp.dataset[7].distribution[0].host.title</t>
  </si>
  <si>
    <t>dmp.dataset[7].distribution[1].issued</t>
  </si>
  <si>
    <t>dmp.dataset[7].distribution[1].data_access</t>
  </si>
  <si>
    <t>dmp.dataset[7].distribution[1].license[0].license_ref</t>
  </si>
  <si>
    <t>dmp.dataset[7].distribution[1].host.title</t>
  </si>
  <si>
    <t>dmp.dataset[8].title</t>
  </si>
  <si>
    <t>dmp.dataset[8].type</t>
  </si>
  <si>
    <t>dmp.dataset[8].description</t>
  </si>
  <si>
    <t>dmp.dataset[8].personal_data</t>
  </si>
  <si>
    <t>dmp.dataset[8].sensitive_data</t>
  </si>
  <si>
    <t>dmp.dataset[8].metadata[0].language</t>
  </si>
  <si>
    <t>dmp.dataset[8].distribution[0].data_access</t>
  </si>
  <si>
    <t>dmp.dataset[8].distribution[0].license[0].license_ref</t>
  </si>
  <si>
    <t>dmp.dataset[8].distribution[0].host.title</t>
  </si>
  <si>
    <t>dmp.dataset[9].title</t>
  </si>
  <si>
    <t>dmp.dataset[9].type</t>
  </si>
  <si>
    <t>dmp.dataset[9].description</t>
  </si>
  <si>
    <t>dmp.dataset[9].personal_data</t>
  </si>
  <si>
    <t>dmp.dataset[9].sensitive_data</t>
  </si>
  <si>
    <t>dmp.dataset[9].metadata[0].language</t>
  </si>
  <si>
    <t>dmp.dataset[9].distribution[0].data_access</t>
  </si>
  <si>
    <t>dmp.dataset[9].distribution[0].host.title</t>
  </si>
  <si>
    <t>dmp.dataset[10].title</t>
  </si>
  <si>
    <t>dmp.dataset[10].type</t>
  </si>
  <si>
    <t>dmp.dataset[10].description</t>
  </si>
  <si>
    <t>dmp.dataset[10].personal_data</t>
  </si>
  <si>
    <t>dmp.dataset[10].sensitive_data</t>
  </si>
  <si>
    <t>dmp.dataset[10].metadata[0].language</t>
  </si>
  <si>
    <t>dmp.dataset[10].distribution[0].data_access</t>
  </si>
  <si>
    <t>dmp.dataset[10].distribution[0].host.title</t>
  </si>
  <si>
    <t>dmp.related_identifier[0].identifier</t>
  </si>
  <si>
    <t>dmp.project[0].title</t>
  </si>
  <si>
    <t>dmp.project[0].description</t>
  </si>
  <si>
    <t>dmp.project[0].start</t>
  </si>
  <si>
    <t>dmp.project[0].end</t>
  </si>
  <si>
    <t>dmp.project[0].funding[0].name</t>
  </si>
  <si>
    <t>Source: RDA_DMP_sample14_manual_annotation.json, every field with a value (134 fields). Listed by notebooks/evaluate-rda-json.ipynb on 2026-10-02.</t>
  </si>
  <si>
    <t>Ground truth</t>
  </si>
  <si>
    <t>Verdict</t>
  </si>
  <si>
    <t>Notes</t>
  </si>
  <si>
    <t>Correct</t>
  </si>
  <si>
    <t>brett.johnson@hakai.org</t>
  </si>
  <si>
    <t>Hallucinated</t>
  </si>
  <si>
    <t>not in the reference</t>
  </si>
  <si>
    <t>identifier differs</t>
  </si>
  <si>
    <t>Missed</t>
  </si>
  <si>
    <t>0000-0003-0644-4174</t>
  </si>
  <si>
    <t>both empty</t>
  </si>
  <si>
    <t>empty where the reference has a value</t>
  </si>
  <si>
    <t>different day</t>
  </si>
  <si>
    <t>www.github.com/hakaiinstitute/jsp-data</t>
  </si>
  <si>
    <t>url</t>
  </si>
  <si>
    <t>different value</t>
  </si>
  <si>
    <t>unknown</t>
  </si>
  <si>
    <t>raw data</t>
  </si>
  <si>
    <t>dmp.dataset[1].dataset_id.identifier</t>
  </si>
  <si>
    <t>dmp.dataset[1].dataset_id.type</t>
  </si>
  <si>
    <t>image</t>
  </si>
  <si>
    <t>Juvenile Salmon Program Time Series</t>
  </si>
  <si>
    <t>only 40% of the model's words are in the reference</t>
  </si>
  <si>
    <t>dmp.contact.affiliation[0].affiliation_id.identifier</t>
  </si>
  <si>
    <t>https://www.hakai.org/</t>
  </si>
  <si>
    <t>dmp.contact.affiliation[0].affiliation_id.type</t>
  </si>
  <si>
    <t>The Hakai Institute Juvenile Salmon program is an ongoing initiative that was established in 2015 in partnership with the University of British Columbia, University of Toronto, Simon Fraser University and Salmon Coast Field Station.</t>
  </si>
  <si>
    <t>only 21% of the model's words are in the reference</t>
  </si>
  <si>
    <t>dmp.dataset[0].distribution[0].description</t>
  </si>
  <si>
    <t>Core observations made in the field and from lab dissections conducted by Hakai staff including species counts, fork lengths, and weights</t>
  </si>
  <si>
    <t>https://creativecommons.org/licenses/by/4.0/</t>
  </si>
  <si>
    <t>dmp.dataset[0].distribution[0].license[0].start_date</t>
  </si>
  <si>
    <t>2020-01-01</t>
  </si>
  <si>
    <t>Microchemistry data as obtained from otolith analysis. Otoliths were obtained from juvenile salmon as part of the Juvenile Salmon Program (JSP).</t>
  </si>
  <si>
    <t>Correct / Hallucinated / Missed per model : sample14, scored against the manual annotation</t>
  </si>
  <si>
    <t>Metric</t>
  </si>
  <si>
    <t>llama3.1-8b</t>
  </si>
  <si>
    <t>gemma4-e4b</t>
  </si>
  <si>
    <t>llama3.3-70b</t>
  </si>
  <si>
    <t>Fields in the manual annotation (what the PDF supports)</t>
  </si>
  <si>
    <t>Fields the model output</t>
  </si>
  <si>
    <t>Missed (in the PDF, not extracted)</t>
  </si>
  <si>
    <t>Total (Correct + Hallucinated + Missed)</t>
  </si>
  <si>
    <t>Shares for the slide bar (of the total above)</t>
  </si>
  <si>
    <t>Correct %</t>
  </si>
  <si>
    <t>Hallucinated %</t>
  </si>
  <si>
    <t>Missed %</t>
  </si>
  <si>
    <t>Precision, recall, F1</t>
  </si>
  <si>
    <t>Precision = Correct / Fields the model output</t>
  </si>
  <si>
    <t>Recall = (Fields in reference - Missed) / Fields in reference</t>
  </si>
  <si>
    <t>F1 = 2 x Precision x Recall / (Precision + Recall)</t>
  </si>
  <si>
    <t>Revised 2026-10-02 from the current reference JSON (134 fields) and model outputs, using the verdicts of notebooks/evaluate-rda-json.ipynb.</t>
  </si>
  <si>
    <t>Every number on this sheet is a formula over the per-model sheets and 'Reference (JSON)'. Per-model sheets now also list Missed reference fields (gray); Hallucinated keeps the original orange.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</si>
</sst>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yy"/>
    <numFmt numFmtId="165" formatCode="yyyy\-mm\-dd"/>
    <numFmt numFmtId="166" formatCode="0.0%"/>
    <numFmt numFmtId="167" formatCode="0.000"/>
  </numFmts>
  <fonts count="14" x14ac:knownFonts="1">
    <font>
      <sz val="11"/>
      <color theme="1"/>
      <name val="Calibri"/>
      <scheme val="minor"/>
    </font>
    <font>
      <b/>
      <sz val="11"/>
      <color rgb="FFFFFFFF"/>
      <name val="Arial"/>
    </font>
    <font>
      <sz val="11"/>
      <color theme="1"/>
      <name val="Arial"/>
    </font>
    <font>
      <sz val="11"/>
      <color rgb="FF000000"/>
      <name val="Calibri"/>
    </font>
    <font>
      <u/>
      <sz val="11"/>
      <color rgb="FF000000"/>
      <name val="Calibri"/>
    </font>
    <font>
      <sz val="11"/>
      <color theme="1"/>
      <name val="Calibri"/>
      <scheme val="minor"/>
    </font>
    <font>
      <b/>
      <sz val="13"/>
      <color rgb="FFFFFFFF"/>
      <name val="Arial"/>
    </font>
    <font>
      <b/>
      <sz val="11"/>
      <color theme="1"/>
      <name val="Arial"/>
    </font>
    <font>
      <sz val="11"/>
      <color theme="1"/>
      <name val="Arial"/>
    </font>
    <font>
      <b/>
      <sz val="11"/>
      <color rgb="FF1F3864"/>
      <name val="Arial"/>
    </font>
    <font>
      <b/>
      <sz val="11"/>
      <color rgb="FFFFFFFF"/>
      <name val="Arial"/>
    </font>
    <font>
      <sz val="10"/>
      <name val="Arial"/>
    </font>
    <font>
      <i/>
      <sz val="9"/>
      <name val="Arial"/>
    </font>
    <font>
      <b/>
      <sz val="11"/>
      <name val="Arial"/>
    </font>
  </fonts>
  <fills count="9">
    <fill>
      <patternFill patternType="none"/>
    </fill>
    <fill>
      <patternFill patternType="gray125"/>
    </fill>
    <fill>
      <patternFill patternType="solid">
        <fgColor rgb="FF1F3864"/>
        <bgColor rgb="FF1F3864"/>
      </patternFill>
    </fill>
    <fill>
      <patternFill patternType="solid">
        <fgColor rgb="FFC6EFCE"/>
        <bgColor rgb="FFC6EFCE"/>
      </patternFill>
    </fill>
    <fill>
      <patternFill patternType="solid">
        <fgColor rgb="FFF8CBAD"/>
        <bgColor rgb="FFF8CBAD"/>
      </patternFill>
    </fill>
    <fill>
      <patternFill patternType="solid">
        <fgColor rgb="FFE7E6E6"/>
        <bgColor rgb="FFE7E6E6"/>
      </patternFill>
    </fill>
    <fill>
      <patternFill patternType="solid">
        <fgColor rgb="FF1F3864"/>
      </patternFill>
    </fill>
    <fill>
      <patternFill patternType="solid">
        <fgColor rgb="FFFABF8F"/>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s>
  <cellStyleXfs count="1">
    <xf numFmtId="0" fontId="0" fillId="0" borderId="0"/>
  </cellStyleXfs>
  <cellXfs count="43">
    <xf numFmtId="0" fontId="0" fillId="0" borderId="0" xfId="0"/>
    <xf numFmtId="0" fontId="3" fillId="0" borderId="0" xfId="0" applyFont="1"/>
    <xf numFmtId="0" fontId="1" fillId="2" borderId="1" xfId="0" applyFont="1" applyFill="1" applyBorder="1" applyAlignment="1">
      <alignment horizontal="center"/>
    </xf>
    <xf numFmtId="0" fontId="3" fillId="0" borderId="1" xfId="0" applyFont="1" applyBorder="1" applyAlignment="1">
      <alignment vertical="top"/>
    </xf>
    <xf numFmtId="0" fontId="4" fillId="0" borderId="1" xfId="0" applyFont="1" applyBorder="1" applyAlignment="1">
      <alignment vertical="top"/>
    </xf>
    <xf numFmtId="0" fontId="3" fillId="0" borderId="1" xfId="0" applyFont="1" applyBorder="1" applyAlignment="1">
      <alignment vertical="top" wrapText="1"/>
    </xf>
    <xf numFmtId="0" fontId="3" fillId="0" borderId="0" xfId="0" applyFont="1" applyAlignment="1">
      <alignment wrapText="1"/>
    </xf>
    <xf numFmtId="0" fontId="5" fillId="0" borderId="0" xfId="0" applyFont="1" applyAlignment="1">
      <alignment wrapText="1"/>
    </xf>
    <xf numFmtId="0" fontId="5" fillId="0" borderId="0" xfId="0" applyFont="1" applyAlignment="1">
      <alignment vertical="top" wrapText="1"/>
    </xf>
    <xf numFmtId="165" fontId="3" fillId="0" borderId="1" xfId="0" applyNumberFormat="1" applyFont="1" applyBorder="1" applyAlignment="1">
      <alignment vertical="top"/>
    </xf>
    <xf numFmtId="0" fontId="7" fillId="0" borderId="1" xfId="0" applyFont="1" applyBorder="1"/>
    <xf numFmtId="0" fontId="8" fillId="0" borderId="1" xfId="0" applyFont="1" applyBorder="1" applyAlignment="1">
      <alignment horizontal="center"/>
    </xf>
    <xf numFmtId="0" fontId="7" fillId="3" borderId="1" xfId="0" applyFont="1" applyFill="1" applyBorder="1"/>
    <xf numFmtId="0" fontId="8" fillId="3" borderId="1" xfId="0" applyFont="1" applyFill="1" applyBorder="1" applyAlignment="1">
      <alignment horizontal="center"/>
    </xf>
    <xf numFmtId="0" fontId="7" fillId="4" borderId="1" xfId="0" applyFont="1" applyFill="1" applyBorder="1"/>
    <xf numFmtId="0" fontId="8" fillId="4" borderId="1" xfId="0" applyFont="1" applyFill="1" applyBorder="1" applyAlignment="1">
      <alignment horizontal="center"/>
    </xf>
    <xf numFmtId="0" fontId="7" fillId="5" borderId="1" xfId="0" applyFont="1" applyFill="1" applyBorder="1"/>
    <xf numFmtId="0" fontId="8" fillId="5" borderId="1" xfId="0" applyFont="1" applyFill="1" applyBorder="1" applyAlignment="1">
      <alignment horizontal="center"/>
    </xf>
    <xf numFmtId="0" fontId="9" fillId="0" borderId="0" xfId="0" applyFont="1"/>
    <xf numFmtId="0" fontId="2" fillId="0" borderId="0" xfId="0" applyFont="1"/>
    <xf numFmtId="0" fontId="10" fillId="6" borderId="0" xfId="0" applyFont="1" applyFill="1"/>
    <xf numFmtId="0" fontId="11" fillId="0" borderId="0" xfId="0" applyFont="1" applyAlignment="1">
      <alignment vertical="top"/>
    </xf>
    <xf numFmtId="0" fontId="11" fillId="0" borderId="0" xfId="0" applyFont="1" applyAlignment="1">
      <alignment vertical="top" wrapText="1"/>
    </xf>
    <xf numFmtId="0" fontId="12" fillId="0" borderId="0" xfId="0" applyFont="1"/>
    <xf numFmtId="0" fontId="10" fillId="6" borderId="0" xfId="0" applyFont="1" applyFill="1" applyAlignment="1">
      <alignment vertical="top" wrapText="1"/>
    </xf>
    <xf numFmtId="0" fontId="11" fillId="7" borderId="0" xfId="0" applyFont="1" applyFill="1" applyAlignment="1">
      <alignment vertical="top"/>
    </xf>
    <xf numFmtId="0" fontId="11" fillId="8" borderId="0" xfId="0" applyFont="1" applyFill="1" applyAlignment="1">
      <alignment vertical="top"/>
    </xf>
    <xf numFmtId="166" fontId="8" fillId="3" borderId="1" xfId="0" applyNumberFormat="1" applyFont="1" applyFill="1" applyBorder="1" applyAlignment="1">
      <alignment horizontal="center"/>
    </xf>
    <xf numFmtId="166" fontId="8" fillId="4" borderId="1" xfId="0" applyNumberFormat="1" applyFont="1" applyFill="1" applyBorder="1" applyAlignment="1">
      <alignment horizontal="center"/>
    </xf>
    <xf numFmtId="166" fontId="8" fillId="5" borderId="1" xfId="0" applyNumberFormat="1" applyFont="1" applyFill="1" applyBorder="1" applyAlignment="1">
      <alignment horizontal="center"/>
    </xf>
    <xf numFmtId="0" fontId="13" fillId="0" borderId="0" xfId="0" applyFont="1"/>
    <xf numFmtId="0" fontId="11" fillId="0" borderId="0" xfId="0" applyFont="1"/>
    <xf numFmtId="167" fontId="11" fillId="0" borderId="0" xfId="0" applyNumberFormat="1" applyFont="1"/>
    <xf numFmtId="0" fontId="10" fillId="6" borderId="1" xfId="0" applyFont="1" applyFill="1" applyBorder="1" applyAlignment="1">
      <alignment horizontal="center"/>
    </xf>
    <xf numFmtId="0" fontId="11" fillId="0" borderId="1" xfId="0" applyFont="1" applyBorder="1" applyAlignment="1">
      <alignment vertical="top" wrapText="1"/>
    </xf>
    <xf numFmtId="164" fontId="11" fillId="0" borderId="1" xfId="0" applyNumberFormat="1" applyFont="1" applyBorder="1" applyAlignment="1">
      <alignment vertical="top" wrapText="1"/>
    </xf>
    <xf numFmtId="165" fontId="11" fillId="0" borderId="1" xfId="0" applyNumberFormat="1" applyFont="1" applyBorder="1" applyAlignment="1">
      <alignment vertical="top" wrapText="1"/>
    </xf>
    <xf numFmtId="0" fontId="1" fillId="2" borderId="1" xfId="0" applyFont="1" applyFill="1" applyBorder="1" applyAlignment="1">
      <alignment horizontal="center"/>
    </xf>
    <xf numFmtId="0" fontId="0" fillId="0" borderId="2" xfId="0" applyBorder="1"/>
    <xf numFmtId="0" fontId="0" fillId="0" borderId="3" xfId="0" applyBorder="1"/>
    <xf numFmtId="0" fontId="0" fillId="0" borderId="4" xfId="0" applyBorder="1"/>
    <xf numFmtId="0" fontId="6" fillId="2" borderId="0" xfId="0" applyFont="1" applyFill="1"/>
    <xf numFmtId="0" fontId="0" fillId="0" borderId="0" xfId="0"/>
  </cellXfs>
  <cellStyles count="1">
    <cellStyle name="Normal" xfId="0" builtinId="0"/>
  </cellStyles>
  <dxfs count="20">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21966/1.566666" TargetMode="External"/><Relationship Id="rId2" Type="http://schemas.openxmlformats.org/officeDocument/2006/relationships/hyperlink" Target="http://dmp.contact.name/" TargetMode="External"/><Relationship Id="rId1" Type="http://schemas.openxmlformats.org/officeDocument/2006/relationships/hyperlink" Target="https://doi.org/10.48321/D1CW23" TargetMode="External"/><Relationship Id="rId6" Type="http://schemas.openxmlformats.org/officeDocument/2006/relationships/hyperlink" Target="http://research_domain.name/" TargetMode="External"/><Relationship Id="rId5" Type="http://schemas.openxmlformats.org/officeDocument/2006/relationships/hyperlink" Target="https://doi.org/10.26428/1606-9919-2021-201-669-685" TargetMode="External"/><Relationship Id="rId4" Type="http://schemas.openxmlformats.org/officeDocument/2006/relationships/hyperlink" Target="https://github.com/hakaiinstitute/jsp-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972"/>
  <sheetViews>
    <sheetView tabSelected="1" topLeftCell="A43" workbookViewId="0">
      <selection activeCell="B63" sqref="B63"/>
    </sheetView>
  </sheetViews>
  <sheetFormatPr defaultColWidth="14.42578125" defaultRowHeight="15" customHeight="1" x14ac:dyDescent="0.25"/>
  <cols>
    <col min="1" max="1" width="57.28515625" customWidth="1"/>
    <col min="2" max="2" width="52.7109375" customWidth="1"/>
    <col min="3" max="3" width="35.7109375" customWidth="1"/>
    <col min="4" max="4" width="27.7109375" customWidth="1"/>
    <col min="5" max="5" width="24" customWidth="1"/>
    <col min="6" max="6" width="19.85546875" customWidth="1"/>
    <col min="7" max="7" width="19.5703125" customWidth="1"/>
    <col min="8" max="8" width="23.5703125" customWidth="1"/>
    <col min="9" max="9" width="25" customWidth="1"/>
    <col min="10" max="10" width="23.28515625" customWidth="1"/>
    <col min="11" max="11" width="20.85546875" customWidth="1"/>
    <col min="12" max="12" width="22.42578125" customWidth="1"/>
  </cols>
  <sheetData>
    <row r="1" spans="1:13" x14ac:dyDescent="0.25">
      <c r="A1" s="37" t="s">
        <v>0</v>
      </c>
      <c r="B1" s="37" t="s">
        <v>1</v>
      </c>
      <c r="C1" s="38"/>
      <c r="D1" s="38"/>
      <c r="E1" s="38"/>
      <c r="F1" s="38"/>
      <c r="G1" s="38"/>
      <c r="H1" s="38"/>
      <c r="I1" s="38"/>
      <c r="J1" s="38"/>
      <c r="K1" s="38"/>
      <c r="L1" s="39"/>
      <c r="M1" s="1"/>
    </row>
    <row r="2" spans="1:13" x14ac:dyDescent="0.25">
      <c r="A2" s="40"/>
      <c r="B2" s="33" t="s">
        <v>2</v>
      </c>
      <c r="C2" s="33" t="s">
        <v>3</v>
      </c>
      <c r="D2" s="33" t="s">
        <v>4</v>
      </c>
      <c r="E2" s="33" t="s">
        <v>5</v>
      </c>
      <c r="F2" s="33" t="s">
        <v>6</v>
      </c>
      <c r="G2" s="33" t="s">
        <v>7</v>
      </c>
      <c r="H2" s="33" t="s">
        <v>8</v>
      </c>
      <c r="I2" s="33" t="s">
        <v>9</v>
      </c>
      <c r="J2" s="33" t="s">
        <v>10</v>
      </c>
      <c r="K2" s="33" t="s">
        <v>11</v>
      </c>
      <c r="L2" s="33" t="s">
        <v>12</v>
      </c>
      <c r="M2" s="1"/>
    </row>
    <row r="3" spans="1:13" x14ac:dyDescent="0.25">
      <c r="A3" s="3" t="s">
        <v>13</v>
      </c>
      <c r="B3" s="3"/>
      <c r="C3" s="3"/>
      <c r="D3" s="3"/>
      <c r="E3" s="3"/>
      <c r="F3" s="3"/>
      <c r="G3" s="3"/>
      <c r="H3" s="3"/>
      <c r="I3" s="3"/>
      <c r="J3" s="3"/>
      <c r="K3" s="3"/>
      <c r="L3" s="3"/>
      <c r="M3" s="1"/>
    </row>
    <row r="4" spans="1:13" x14ac:dyDescent="0.25">
      <c r="A4" s="3" t="s">
        <v>14</v>
      </c>
      <c r="B4" s="3"/>
      <c r="C4" s="3"/>
      <c r="D4" s="3"/>
      <c r="E4" s="3"/>
      <c r="F4" s="3"/>
      <c r="G4" s="3"/>
      <c r="H4" s="3"/>
      <c r="I4" s="3"/>
      <c r="J4" s="3"/>
      <c r="K4" s="3"/>
      <c r="L4" s="3"/>
      <c r="M4" s="1"/>
    </row>
    <row r="5" spans="1:13" x14ac:dyDescent="0.25">
      <c r="A5" s="3" t="s">
        <v>15</v>
      </c>
      <c r="B5" s="34" t="s">
        <v>16</v>
      </c>
      <c r="C5" s="3"/>
      <c r="D5" s="3"/>
      <c r="E5" s="3"/>
      <c r="F5" s="3"/>
      <c r="G5" s="3"/>
      <c r="H5" s="3"/>
      <c r="I5" s="3"/>
      <c r="J5" s="3"/>
      <c r="K5" s="3"/>
      <c r="L5" s="3"/>
      <c r="M5" s="1"/>
    </row>
    <row r="6" spans="1:13" x14ac:dyDescent="0.25">
      <c r="A6" s="3" t="s">
        <v>17</v>
      </c>
      <c r="B6" s="3"/>
      <c r="C6" s="3"/>
      <c r="D6" s="3"/>
      <c r="E6" s="3"/>
      <c r="F6" s="3"/>
      <c r="G6" s="3"/>
      <c r="H6" s="3"/>
      <c r="I6" s="3"/>
      <c r="J6" s="3"/>
      <c r="K6" s="3"/>
      <c r="L6" s="3"/>
      <c r="M6" s="1"/>
    </row>
    <row r="7" spans="1:13" x14ac:dyDescent="0.25">
      <c r="A7" s="3" t="s">
        <v>18</v>
      </c>
      <c r="B7" s="3"/>
      <c r="C7" s="3"/>
      <c r="D7" s="3"/>
      <c r="E7" s="3"/>
      <c r="F7" s="3"/>
      <c r="G7" s="3"/>
      <c r="H7" s="3"/>
      <c r="I7" s="3"/>
      <c r="J7" s="3"/>
      <c r="K7" s="3"/>
      <c r="L7" s="3"/>
      <c r="M7" s="1"/>
    </row>
    <row r="8" spans="1:13" x14ac:dyDescent="0.25">
      <c r="A8" s="3" t="s">
        <v>19</v>
      </c>
      <c r="B8" s="34" t="s">
        <v>20</v>
      </c>
      <c r="C8" s="3"/>
      <c r="D8" s="3"/>
      <c r="E8" s="3"/>
      <c r="F8" s="3"/>
      <c r="G8" s="3"/>
      <c r="H8" s="3"/>
      <c r="I8" s="3"/>
      <c r="J8" s="3"/>
      <c r="K8" s="3"/>
      <c r="L8" s="3"/>
      <c r="M8" s="1"/>
    </row>
    <row r="9" spans="1:13" x14ac:dyDescent="0.25">
      <c r="A9" s="3" t="s">
        <v>21</v>
      </c>
      <c r="B9" s="35" t="s">
        <v>22</v>
      </c>
      <c r="C9" s="3"/>
      <c r="D9" s="3"/>
      <c r="E9" s="3"/>
      <c r="F9" s="3"/>
      <c r="G9" s="3"/>
      <c r="H9" s="3"/>
      <c r="I9" s="3"/>
      <c r="J9" s="3"/>
      <c r="K9" s="3"/>
      <c r="L9" s="3"/>
      <c r="M9" s="1"/>
    </row>
    <row r="10" spans="1:13" x14ac:dyDescent="0.25">
      <c r="A10" s="3" t="s">
        <v>23</v>
      </c>
      <c r="B10" s="35" t="s">
        <v>24</v>
      </c>
      <c r="C10" s="3"/>
      <c r="D10" s="3"/>
      <c r="E10" s="3"/>
      <c r="F10" s="3"/>
      <c r="G10" s="3"/>
      <c r="H10" s="3"/>
      <c r="I10" s="3"/>
      <c r="J10" s="3"/>
      <c r="K10" s="3"/>
      <c r="L10" s="3"/>
      <c r="M10" s="1"/>
    </row>
    <row r="11" spans="1:13" x14ac:dyDescent="0.25">
      <c r="A11" s="3" t="s">
        <v>25</v>
      </c>
      <c r="B11" s="34" t="s">
        <v>26</v>
      </c>
      <c r="C11" s="3"/>
      <c r="D11" s="3"/>
      <c r="E11" s="3"/>
      <c r="F11" s="3"/>
      <c r="G11" s="3"/>
      <c r="H11" s="3"/>
      <c r="I11" s="3"/>
      <c r="J11" s="3"/>
      <c r="K11" s="3"/>
      <c r="L11" s="3"/>
      <c r="M11" s="1"/>
    </row>
    <row r="12" spans="1:13" x14ac:dyDescent="0.25">
      <c r="A12" s="3" t="s">
        <v>27</v>
      </c>
      <c r="B12" s="34" t="s">
        <v>28</v>
      </c>
      <c r="C12" s="3"/>
      <c r="D12" s="3"/>
      <c r="E12" s="3"/>
      <c r="F12" s="3"/>
      <c r="G12" s="3"/>
      <c r="H12" s="3"/>
      <c r="I12" s="3"/>
      <c r="J12" s="3"/>
      <c r="K12" s="3"/>
      <c r="L12" s="3"/>
      <c r="M12" s="1"/>
    </row>
    <row r="13" spans="1:13" x14ac:dyDescent="0.25">
      <c r="A13" s="3" t="s">
        <v>29</v>
      </c>
      <c r="B13" s="3"/>
      <c r="C13" s="3"/>
      <c r="D13" s="3"/>
      <c r="E13" s="3"/>
      <c r="F13" s="3"/>
      <c r="G13" s="3"/>
      <c r="H13" s="3"/>
      <c r="I13" s="3"/>
      <c r="J13" s="3"/>
      <c r="K13" s="3"/>
      <c r="L13" s="3"/>
      <c r="M13" s="1"/>
    </row>
    <row r="14" spans="1:13" x14ac:dyDescent="0.25">
      <c r="A14" s="3" t="s">
        <v>30</v>
      </c>
      <c r="B14" s="3"/>
      <c r="C14" s="3"/>
      <c r="D14" s="3"/>
      <c r="E14" s="3"/>
      <c r="F14" s="3"/>
      <c r="G14" s="3"/>
      <c r="H14" s="3"/>
      <c r="I14" s="3"/>
      <c r="J14" s="3"/>
      <c r="K14" s="3"/>
      <c r="L14" s="3"/>
      <c r="M14" s="1"/>
    </row>
    <row r="15" spans="1:13" x14ac:dyDescent="0.25">
      <c r="A15" s="3" t="s">
        <v>31</v>
      </c>
      <c r="B15" s="34" t="s">
        <v>32</v>
      </c>
      <c r="C15" s="3"/>
      <c r="D15" s="3"/>
      <c r="E15" s="3"/>
      <c r="F15" s="3"/>
      <c r="G15" s="3"/>
      <c r="H15" s="3"/>
      <c r="I15" s="3"/>
      <c r="J15" s="3"/>
      <c r="K15" s="3"/>
      <c r="L15" s="3"/>
      <c r="M15" s="1"/>
    </row>
    <row r="16" spans="1:13" x14ac:dyDescent="0.25">
      <c r="A16" s="3" t="s">
        <v>33</v>
      </c>
      <c r="B16" s="3"/>
      <c r="C16" s="3"/>
      <c r="D16" s="3"/>
      <c r="E16" s="3"/>
      <c r="F16" s="3"/>
      <c r="G16" s="3"/>
      <c r="H16" s="3"/>
      <c r="I16" s="3"/>
      <c r="J16" s="3"/>
      <c r="K16" s="3"/>
      <c r="L16" s="3"/>
      <c r="M16" s="1"/>
    </row>
    <row r="17" spans="1:13" x14ac:dyDescent="0.25">
      <c r="A17" s="4" t="s">
        <v>34</v>
      </c>
      <c r="B17" s="34" t="s">
        <v>35</v>
      </c>
      <c r="C17" s="3"/>
      <c r="D17" s="3"/>
      <c r="E17" s="3"/>
      <c r="F17" s="3"/>
      <c r="G17" s="3"/>
      <c r="H17" s="3"/>
      <c r="I17" s="3"/>
      <c r="J17" s="3"/>
      <c r="K17" s="3"/>
      <c r="L17" s="3"/>
      <c r="M17" s="1"/>
    </row>
    <row r="18" spans="1:13" x14ac:dyDescent="0.25">
      <c r="A18" s="3" t="s">
        <v>36</v>
      </c>
      <c r="B18" s="3"/>
      <c r="C18" s="3"/>
      <c r="D18" s="3"/>
      <c r="E18" s="3"/>
      <c r="F18" s="3"/>
      <c r="G18" s="3"/>
      <c r="H18" s="3"/>
      <c r="I18" s="3"/>
      <c r="J18" s="3"/>
      <c r="K18" s="3"/>
      <c r="L18" s="3"/>
      <c r="M18" s="1"/>
    </row>
    <row r="19" spans="1:13" x14ac:dyDescent="0.25">
      <c r="A19" s="3" t="s">
        <v>37</v>
      </c>
      <c r="B19" s="3"/>
      <c r="C19" s="3"/>
      <c r="D19" s="3"/>
      <c r="E19" s="3"/>
      <c r="F19" s="3"/>
      <c r="G19" s="3"/>
      <c r="H19" s="3"/>
      <c r="I19" s="3"/>
      <c r="J19" s="3"/>
      <c r="K19" s="3"/>
      <c r="L19" s="3"/>
      <c r="M19" s="1"/>
    </row>
    <row r="20" spans="1:13" x14ac:dyDescent="0.25">
      <c r="A20" s="3" t="s">
        <v>38</v>
      </c>
      <c r="B20" s="3"/>
      <c r="C20" s="3"/>
      <c r="D20" s="3"/>
      <c r="E20" s="3"/>
      <c r="F20" s="3"/>
      <c r="G20" s="3"/>
      <c r="H20" s="3"/>
      <c r="I20" s="3"/>
      <c r="J20" s="3"/>
      <c r="K20" s="3"/>
      <c r="L20" s="3"/>
      <c r="M20" s="1"/>
    </row>
    <row r="21" spans="1:13" x14ac:dyDescent="0.25">
      <c r="A21" s="3" t="s">
        <v>39</v>
      </c>
      <c r="B21" s="34" t="s">
        <v>40</v>
      </c>
      <c r="C21" s="3"/>
      <c r="D21" s="3"/>
      <c r="E21" s="3"/>
      <c r="F21" s="3"/>
      <c r="G21" s="3"/>
      <c r="H21" s="3"/>
      <c r="I21" s="3"/>
      <c r="J21" s="3"/>
      <c r="K21" s="3"/>
      <c r="L21" s="3"/>
      <c r="M21" s="1"/>
    </row>
    <row r="22" spans="1:13" x14ac:dyDescent="0.25">
      <c r="A22" s="3" t="s">
        <v>41</v>
      </c>
      <c r="B22" s="3"/>
      <c r="C22" s="3"/>
      <c r="D22" s="3"/>
      <c r="E22" s="3"/>
      <c r="F22" s="3"/>
      <c r="G22" s="3"/>
      <c r="H22" s="3"/>
      <c r="I22" s="3"/>
      <c r="J22" s="3"/>
      <c r="K22" s="3"/>
      <c r="L22" s="3"/>
      <c r="M22" s="1"/>
    </row>
    <row r="23" spans="1:13" x14ac:dyDescent="0.25">
      <c r="A23" s="3" t="s">
        <v>42</v>
      </c>
      <c r="B23" s="3"/>
      <c r="C23" s="3"/>
      <c r="D23" s="3"/>
      <c r="E23" s="3"/>
      <c r="F23" s="3"/>
      <c r="G23" s="3"/>
      <c r="H23" s="3"/>
      <c r="I23" s="3"/>
      <c r="J23" s="3"/>
      <c r="K23" s="3"/>
      <c r="L23" s="3"/>
      <c r="M23" s="1"/>
    </row>
    <row r="24" spans="1:13" x14ac:dyDescent="0.25">
      <c r="A24" s="3" t="s">
        <v>43</v>
      </c>
      <c r="B24" s="3"/>
      <c r="C24" s="3"/>
      <c r="D24" s="3"/>
      <c r="E24" s="3"/>
      <c r="F24" s="3"/>
      <c r="G24" s="3"/>
      <c r="H24" s="3"/>
      <c r="I24" s="3"/>
      <c r="J24" s="3"/>
      <c r="K24" s="3"/>
      <c r="L24" s="3"/>
      <c r="M24" s="1"/>
    </row>
    <row r="25" spans="1:13" x14ac:dyDescent="0.25">
      <c r="A25" s="3" t="s">
        <v>44</v>
      </c>
      <c r="B25" s="3"/>
      <c r="C25" s="3"/>
      <c r="D25" s="3"/>
      <c r="E25" s="3"/>
      <c r="F25" s="3"/>
      <c r="G25" s="3"/>
      <c r="H25" s="3"/>
      <c r="I25" s="3"/>
      <c r="J25" s="3"/>
      <c r="K25" s="3"/>
      <c r="L25" s="3"/>
      <c r="M25" s="1"/>
    </row>
    <row r="26" spans="1:13" x14ac:dyDescent="0.25">
      <c r="A26" s="3" t="s">
        <v>45</v>
      </c>
      <c r="B26" s="3"/>
      <c r="C26" s="3"/>
      <c r="D26" s="3"/>
      <c r="E26" s="3"/>
      <c r="F26" s="3"/>
      <c r="G26" s="3"/>
      <c r="H26" s="3"/>
      <c r="I26" s="3"/>
      <c r="J26" s="3"/>
      <c r="K26" s="3"/>
      <c r="L26" s="3"/>
      <c r="M26" s="1"/>
    </row>
    <row r="27" spans="1:13" x14ac:dyDescent="0.25">
      <c r="A27" s="3" t="s">
        <v>46</v>
      </c>
      <c r="B27" s="34" t="s">
        <v>47</v>
      </c>
      <c r="C27" s="3"/>
      <c r="D27" s="3"/>
      <c r="E27" s="3"/>
      <c r="F27" s="3"/>
      <c r="G27" s="3"/>
      <c r="H27" s="3"/>
      <c r="I27" s="3"/>
      <c r="J27" s="3"/>
      <c r="K27" s="3"/>
      <c r="L27" s="3"/>
      <c r="M27" s="1"/>
    </row>
    <row r="28" spans="1:13" x14ac:dyDescent="0.25">
      <c r="A28" s="3" t="s">
        <v>48</v>
      </c>
      <c r="B28" s="34" t="s">
        <v>49</v>
      </c>
      <c r="C28" s="3"/>
      <c r="D28" s="3"/>
      <c r="E28" s="3"/>
      <c r="F28" s="3"/>
      <c r="G28" s="3"/>
      <c r="H28" s="3"/>
      <c r="I28" s="3"/>
      <c r="J28" s="3"/>
      <c r="K28" s="3"/>
      <c r="L28" s="3"/>
      <c r="M28" s="1"/>
    </row>
    <row r="29" spans="1:13" x14ac:dyDescent="0.25">
      <c r="A29" s="3" t="s">
        <v>50</v>
      </c>
      <c r="B29" s="3"/>
      <c r="C29" s="3"/>
      <c r="D29" s="3"/>
      <c r="E29" s="3"/>
      <c r="F29" s="3"/>
      <c r="G29" s="3"/>
      <c r="H29" s="3"/>
      <c r="I29" s="3"/>
      <c r="J29" s="3"/>
      <c r="K29" s="3"/>
      <c r="L29" s="3"/>
      <c r="M29" s="1"/>
    </row>
    <row r="30" spans="1:13" x14ac:dyDescent="0.25">
      <c r="A30" s="3" t="s">
        <v>51</v>
      </c>
      <c r="B30" s="3"/>
      <c r="C30" s="3"/>
      <c r="D30" s="3"/>
      <c r="E30" s="3"/>
      <c r="F30" s="3"/>
      <c r="G30" s="3"/>
      <c r="H30" s="3"/>
      <c r="I30" s="3"/>
      <c r="J30" s="3"/>
      <c r="K30" s="3"/>
      <c r="L30" s="3"/>
      <c r="M30" s="1"/>
    </row>
    <row r="31" spans="1:13" x14ac:dyDescent="0.25">
      <c r="A31" s="3" t="s">
        <v>52</v>
      </c>
      <c r="B31" s="34" t="s">
        <v>35</v>
      </c>
      <c r="C31" s="34" t="s">
        <v>53</v>
      </c>
      <c r="D31" s="34" t="s">
        <v>54</v>
      </c>
      <c r="E31" s="34" t="s">
        <v>55</v>
      </c>
      <c r="F31" s="3"/>
      <c r="G31" s="3"/>
      <c r="H31" s="3"/>
      <c r="I31" s="3"/>
      <c r="J31" s="3"/>
      <c r="K31" s="3"/>
      <c r="L31" s="3"/>
      <c r="M31" s="1"/>
    </row>
    <row r="32" spans="1:13" x14ac:dyDescent="0.25">
      <c r="A32" s="3" t="s">
        <v>56</v>
      </c>
      <c r="B32" s="3"/>
      <c r="C32" s="3"/>
      <c r="D32" s="3"/>
      <c r="E32" s="3"/>
      <c r="F32" s="3"/>
      <c r="G32" s="3"/>
      <c r="H32" s="3"/>
      <c r="I32" s="3"/>
      <c r="J32" s="3"/>
      <c r="K32" s="3"/>
      <c r="L32" s="3"/>
      <c r="M32" s="1"/>
    </row>
    <row r="33" spans="1:17" x14ac:dyDescent="0.25">
      <c r="A33" s="3" t="s">
        <v>57</v>
      </c>
      <c r="B33" s="3"/>
      <c r="C33" s="3"/>
      <c r="D33" s="3"/>
      <c r="E33" s="3"/>
      <c r="F33" s="3"/>
      <c r="G33" s="3"/>
      <c r="H33" s="3"/>
      <c r="I33" s="3"/>
      <c r="J33" s="3"/>
      <c r="K33" s="3"/>
      <c r="L33" s="3"/>
      <c r="M33" s="1"/>
    </row>
    <row r="34" spans="1:17" x14ac:dyDescent="0.25">
      <c r="A34" s="3" t="s">
        <v>58</v>
      </c>
      <c r="B34" s="3"/>
      <c r="C34" s="3"/>
      <c r="D34" s="3"/>
      <c r="E34" s="3"/>
      <c r="F34" s="3"/>
      <c r="G34" s="3"/>
      <c r="H34" s="3"/>
      <c r="I34" s="3"/>
      <c r="J34" s="3"/>
      <c r="K34" s="3"/>
      <c r="L34" s="3"/>
      <c r="M34" s="1"/>
    </row>
    <row r="35" spans="1:17" x14ac:dyDescent="0.25">
      <c r="A35" s="3" t="s">
        <v>59</v>
      </c>
      <c r="B35" s="3"/>
      <c r="C35" s="3"/>
      <c r="D35" s="3"/>
      <c r="E35" s="3"/>
      <c r="F35" s="3"/>
      <c r="G35" s="3"/>
      <c r="H35" s="3"/>
      <c r="I35" s="3"/>
      <c r="J35" s="3"/>
      <c r="K35" s="3"/>
      <c r="L35" s="3"/>
      <c r="M35" s="1"/>
    </row>
    <row r="36" spans="1:17" x14ac:dyDescent="0.25">
      <c r="A36" s="3" t="s">
        <v>60</v>
      </c>
      <c r="B36" s="3"/>
      <c r="C36" s="3"/>
      <c r="D36" s="3"/>
      <c r="E36" s="3"/>
      <c r="F36" s="3"/>
      <c r="G36" s="3"/>
      <c r="H36" s="3"/>
      <c r="I36" s="3"/>
      <c r="J36" s="3"/>
      <c r="K36" s="3"/>
      <c r="L36" s="3"/>
      <c r="M36" s="1"/>
    </row>
    <row r="37" spans="1:17" x14ac:dyDescent="0.25">
      <c r="A37" s="3" t="s">
        <v>61</v>
      </c>
      <c r="B37" s="3"/>
      <c r="C37" s="3"/>
      <c r="D37" s="3"/>
      <c r="E37" s="3"/>
      <c r="F37" s="3"/>
      <c r="G37" s="3"/>
      <c r="H37" s="3"/>
      <c r="I37" s="3"/>
      <c r="J37" s="3"/>
      <c r="K37" s="3"/>
      <c r="L37" s="3"/>
      <c r="M37" s="1"/>
    </row>
    <row r="38" spans="1:17" x14ac:dyDescent="0.25">
      <c r="A38" s="3" t="s">
        <v>62</v>
      </c>
      <c r="B38" s="3"/>
      <c r="C38" s="3"/>
      <c r="D38" s="3"/>
      <c r="E38" s="3"/>
      <c r="F38" s="3"/>
      <c r="G38" s="3"/>
      <c r="H38" s="3"/>
      <c r="I38" s="3"/>
      <c r="J38" s="3"/>
      <c r="K38" s="3"/>
      <c r="L38" s="3"/>
      <c r="M38" s="1"/>
    </row>
    <row r="39" spans="1:17" x14ac:dyDescent="0.25">
      <c r="A39" s="3" t="s">
        <v>63</v>
      </c>
      <c r="B39" s="3"/>
      <c r="C39" s="3"/>
      <c r="D39" s="3"/>
      <c r="E39" s="3"/>
      <c r="F39" s="3"/>
      <c r="G39" s="3"/>
      <c r="H39" s="3"/>
      <c r="I39" s="3"/>
      <c r="J39" s="3"/>
      <c r="K39" s="3"/>
      <c r="L39" s="3"/>
      <c r="M39" s="1"/>
    </row>
    <row r="40" spans="1:17" x14ac:dyDescent="0.25">
      <c r="A40" s="3" t="s">
        <v>64</v>
      </c>
      <c r="B40" s="3"/>
      <c r="C40" s="3"/>
      <c r="D40" s="3"/>
      <c r="E40" s="3"/>
      <c r="F40" s="3"/>
      <c r="G40" s="3"/>
      <c r="H40" s="3"/>
      <c r="I40" s="3"/>
      <c r="J40" s="3"/>
      <c r="K40" s="3"/>
      <c r="L40" s="3"/>
      <c r="M40" s="1"/>
    </row>
    <row r="41" spans="1:17" x14ac:dyDescent="0.25">
      <c r="A41" s="3" t="s">
        <v>65</v>
      </c>
      <c r="B41" s="3"/>
      <c r="C41" s="3"/>
      <c r="D41" s="3"/>
      <c r="E41" s="3"/>
      <c r="F41" s="3"/>
      <c r="G41" s="3"/>
      <c r="H41" s="3"/>
      <c r="I41" s="3"/>
      <c r="J41" s="3"/>
      <c r="K41" s="3"/>
      <c r="L41" s="3"/>
      <c r="M41" s="1"/>
    </row>
    <row r="42" spans="1:17" x14ac:dyDescent="0.25">
      <c r="A42" s="3" t="s">
        <v>66</v>
      </c>
      <c r="B42" s="3"/>
      <c r="C42" s="3"/>
      <c r="D42" s="3"/>
      <c r="E42" s="3"/>
      <c r="F42" s="3"/>
      <c r="G42" s="3"/>
      <c r="H42" s="3"/>
      <c r="I42" s="3"/>
      <c r="J42" s="3"/>
      <c r="K42" s="3"/>
      <c r="L42" s="3"/>
      <c r="M42" s="1"/>
    </row>
    <row r="43" spans="1:17" x14ac:dyDescent="0.25">
      <c r="A43" s="3" t="s">
        <v>67</v>
      </c>
      <c r="B43" s="34" t="s">
        <v>68</v>
      </c>
      <c r="C43" s="34" t="s">
        <v>69</v>
      </c>
      <c r="D43" s="34" t="s">
        <v>70</v>
      </c>
      <c r="E43" s="34" t="s">
        <v>70</v>
      </c>
      <c r="F43" s="3"/>
      <c r="G43" s="3"/>
      <c r="H43" s="3"/>
      <c r="I43" s="3"/>
      <c r="J43" s="3"/>
      <c r="K43" s="3"/>
      <c r="L43" s="3"/>
      <c r="M43" s="1"/>
    </row>
    <row r="44" spans="1:17" x14ac:dyDescent="0.25">
      <c r="A44" s="3" t="s">
        <v>71</v>
      </c>
      <c r="B44" s="3"/>
      <c r="C44" s="3"/>
      <c r="D44" s="3"/>
      <c r="E44" s="3"/>
      <c r="F44" s="3"/>
      <c r="G44" s="3"/>
      <c r="H44" s="3"/>
      <c r="I44" s="3"/>
      <c r="J44" s="3"/>
      <c r="K44" s="3"/>
      <c r="L44" s="3"/>
      <c r="M44" s="1"/>
    </row>
    <row r="45" spans="1:17" x14ac:dyDescent="0.25">
      <c r="A45" s="3" t="s">
        <v>72</v>
      </c>
      <c r="B45" s="3"/>
      <c r="C45" s="3"/>
      <c r="D45" s="3"/>
      <c r="E45" s="3"/>
      <c r="F45" s="3"/>
      <c r="G45" s="3"/>
      <c r="H45" s="3"/>
      <c r="I45" s="3"/>
      <c r="J45" s="3"/>
      <c r="K45" s="3"/>
      <c r="L45" s="3"/>
      <c r="M45" s="1"/>
    </row>
    <row r="46" spans="1:17" x14ac:dyDescent="0.25">
      <c r="A46" s="5" t="s">
        <v>73</v>
      </c>
      <c r="B46" s="34" t="s">
        <v>16</v>
      </c>
      <c r="C46" s="34" t="s">
        <v>74</v>
      </c>
      <c r="D46" s="34" t="s">
        <v>75</v>
      </c>
      <c r="E46" s="34" t="s">
        <v>76</v>
      </c>
      <c r="F46" s="34" t="s">
        <v>77</v>
      </c>
      <c r="G46" s="34" t="s">
        <v>78</v>
      </c>
      <c r="H46" s="34" t="s">
        <v>79</v>
      </c>
      <c r="I46" s="34" t="s">
        <v>80</v>
      </c>
      <c r="J46" s="34" t="s">
        <v>81</v>
      </c>
      <c r="K46" s="34" t="s">
        <v>82</v>
      </c>
      <c r="L46" s="34" t="s">
        <v>83</v>
      </c>
      <c r="M46" s="6"/>
      <c r="N46" s="7"/>
      <c r="O46" s="7"/>
      <c r="P46" s="7"/>
      <c r="Q46" s="7"/>
    </row>
    <row r="47" spans="1:17" x14ac:dyDescent="0.25">
      <c r="A47" s="3" t="s">
        <v>84</v>
      </c>
      <c r="B47" s="34" t="s">
        <v>85</v>
      </c>
      <c r="C47" s="34" t="s">
        <v>85</v>
      </c>
      <c r="D47" s="34" t="s">
        <v>85</v>
      </c>
      <c r="E47" s="34" t="s">
        <v>85</v>
      </c>
      <c r="F47" s="34" t="s">
        <v>85</v>
      </c>
      <c r="G47" s="34" t="s">
        <v>85</v>
      </c>
      <c r="H47" s="34" t="s">
        <v>85</v>
      </c>
      <c r="I47" s="34" t="s">
        <v>85</v>
      </c>
      <c r="J47" s="34" t="s">
        <v>85</v>
      </c>
      <c r="K47" s="34" t="s">
        <v>85</v>
      </c>
      <c r="L47" s="34" t="s">
        <v>85</v>
      </c>
      <c r="M47" s="1"/>
      <c r="N47" s="7"/>
      <c r="O47" s="7"/>
      <c r="P47" s="7"/>
      <c r="Q47" s="7"/>
    </row>
    <row r="48" spans="1:17" x14ac:dyDescent="0.25">
      <c r="A48" s="5" t="s">
        <v>86</v>
      </c>
      <c r="B48" s="34" t="s">
        <v>87</v>
      </c>
      <c r="C48" s="34" t="s">
        <v>88</v>
      </c>
      <c r="D48" s="34" t="s">
        <v>89</v>
      </c>
      <c r="E48" s="34" t="s">
        <v>90</v>
      </c>
      <c r="F48" s="34" t="s">
        <v>91</v>
      </c>
      <c r="G48" s="34" t="s">
        <v>92</v>
      </c>
      <c r="H48" s="34" t="s">
        <v>93</v>
      </c>
      <c r="I48" s="34" t="s">
        <v>94</v>
      </c>
      <c r="J48" s="34" t="s">
        <v>95</v>
      </c>
      <c r="K48" s="34" t="s">
        <v>96</v>
      </c>
      <c r="L48" s="34" t="s">
        <v>97</v>
      </c>
      <c r="M48" s="6"/>
      <c r="N48" s="8"/>
      <c r="O48" s="8"/>
      <c r="P48" s="8"/>
      <c r="Q48" s="8"/>
    </row>
    <row r="49" spans="1:13" x14ac:dyDescent="0.25">
      <c r="A49" s="3" t="s">
        <v>98</v>
      </c>
      <c r="B49" s="3"/>
      <c r="C49" s="3"/>
      <c r="D49" s="3"/>
      <c r="E49" s="3"/>
      <c r="F49" s="3"/>
      <c r="G49" s="3"/>
      <c r="H49" s="3"/>
      <c r="I49" s="3"/>
      <c r="J49" s="3"/>
      <c r="K49" s="3"/>
      <c r="L49" s="3"/>
      <c r="M49" s="1"/>
    </row>
    <row r="50" spans="1:13" x14ac:dyDescent="0.25">
      <c r="A50" s="3" t="s">
        <v>99</v>
      </c>
      <c r="B50" s="34" t="s">
        <v>100</v>
      </c>
      <c r="C50" s="3"/>
      <c r="D50" s="3"/>
      <c r="E50" s="3"/>
      <c r="F50" s="3"/>
      <c r="G50" s="3"/>
      <c r="H50" s="3"/>
      <c r="I50" s="3"/>
      <c r="J50" s="3"/>
      <c r="K50" s="3"/>
      <c r="L50" s="3"/>
      <c r="M50" s="1"/>
    </row>
    <row r="51" spans="1:13" x14ac:dyDescent="0.25">
      <c r="A51" s="3" t="s">
        <v>101</v>
      </c>
      <c r="B51" s="34" t="s">
        <v>22</v>
      </c>
      <c r="C51" s="3"/>
      <c r="D51" s="3"/>
      <c r="E51" s="3"/>
      <c r="F51" s="3"/>
      <c r="G51" s="3"/>
      <c r="H51" s="3"/>
      <c r="I51" s="3"/>
      <c r="J51" s="3"/>
      <c r="K51" s="3"/>
      <c r="L51" s="3"/>
      <c r="M51" s="1"/>
    </row>
    <row r="52" spans="1:13" x14ac:dyDescent="0.25">
      <c r="A52" s="3" t="s">
        <v>102</v>
      </c>
      <c r="B52" s="34" t="s">
        <v>28</v>
      </c>
      <c r="C52" s="34" t="s">
        <v>28</v>
      </c>
      <c r="D52" s="34" t="s">
        <v>28</v>
      </c>
      <c r="E52" s="34" t="s">
        <v>28</v>
      </c>
      <c r="F52" s="34" t="s">
        <v>28</v>
      </c>
      <c r="G52" s="34" t="s">
        <v>28</v>
      </c>
      <c r="H52" s="34" t="s">
        <v>28</v>
      </c>
      <c r="I52" s="34" t="s">
        <v>28</v>
      </c>
      <c r="J52" s="34" t="s">
        <v>28</v>
      </c>
      <c r="K52" s="34" t="s">
        <v>28</v>
      </c>
      <c r="L52" s="34" t="s">
        <v>28</v>
      </c>
      <c r="M52" s="1"/>
    </row>
    <row r="53" spans="1:13" x14ac:dyDescent="0.25">
      <c r="A53" s="3" t="s">
        <v>103</v>
      </c>
      <c r="B53" s="34" t="s">
        <v>28</v>
      </c>
      <c r="C53" s="34" t="s">
        <v>28</v>
      </c>
      <c r="D53" s="34" t="s">
        <v>28</v>
      </c>
      <c r="E53" s="34" t="s">
        <v>28</v>
      </c>
      <c r="F53" s="34" t="s">
        <v>28</v>
      </c>
      <c r="G53" s="34" t="s">
        <v>28</v>
      </c>
      <c r="H53" s="34" t="s">
        <v>28</v>
      </c>
      <c r="I53" s="34" t="s">
        <v>28</v>
      </c>
      <c r="J53" s="34" t="s">
        <v>28</v>
      </c>
      <c r="K53" s="34" t="s">
        <v>28</v>
      </c>
      <c r="L53" s="34" t="s">
        <v>28</v>
      </c>
      <c r="M53" s="1"/>
    </row>
    <row r="54" spans="1:13" x14ac:dyDescent="0.25">
      <c r="A54" s="3" t="s">
        <v>104</v>
      </c>
      <c r="B54" s="3"/>
      <c r="C54" s="3"/>
      <c r="D54" s="3"/>
      <c r="E54" s="3"/>
      <c r="F54" s="3"/>
      <c r="G54" s="3"/>
      <c r="H54" s="3"/>
      <c r="I54" s="3"/>
      <c r="J54" s="3"/>
      <c r="K54" s="3"/>
      <c r="L54" s="3"/>
      <c r="M54" s="1"/>
    </row>
    <row r="55" spans="1:13" x14ac:dyDescent="0.25">
      <c r="A55" s="3" t="s">
        <v>105</v>
      </c>
      <c r="B55" s="3"/>
      <c r="C55" s="3"/>
      <c r="D55" s="3"/>
      <c r="E55" s="3"/>
      <c r="F55" s="3"/>
      <c r="G55" s="3"/>
      <c r="H55" s="3"/>
      <c r="I55" s="3"/>
      <c r="J55" s="3"/>
      <c r="K55" s="3"/>
      <c r="L55" s="3"/>
      <c r="M55" s="1"/>
    </row>
    <row r="56" spans="1:13" x14ac:dyDescent="0.25">
      <c r="A56" s="3" t="s">
        <v>106</v>
      </c>
      <c r="B56" s="3"/>
      <c r="C56" s="3"/>
      <c r="D56" s="3"/>
      <c r="E56" s="3"/>
      <c r="F56" s="3"/>
      <c r="G56" s="3"/>
      <c r="H56" s="3"/>
      <c r="I56" s="3"/>
      <c r="J56" s="3"/>
      <c r="K56" s="3"/>
      <c r="L56" s="3"/>
      <c r="M56" s="1"/>
    </row>
    <row r="57" spans="1:13" x14ac:dyDescent="0.25">
      <c r="A57" s="3" t="s">
        <v>107</v>
      </c>
      <c r="B57" s="3"/>
      <c r="C57" s="3"/>
      <c r="D57" s="3"/>
      <c r="E57" s="3"/>
      <c r="F57" s="3"/>
      <c r="G57" s="3"/>
      <c r="H57" s="3"/>
      <c r="I57" s="3"/>
      <c r="J57" s="3"/>
      <c r="K57" s="3"/>
      <c r="L57" s="3"/>
      <c r="M57" s="1"/>
    </row>
    <row r="58" spans="1:13" x14ac:dyDescent="0.25">
      <c r="A58" s="3" t="s">
        <v>108</v>
      </c>
      <c r="B58" s="3" t="s">
        <v>32</v>
      </c>
      <c r="C58" s="34" t="s">
        <v>32</v>
      </c>
      <c r="D58" s="34" t="s">
        <v>32</v>
      </c>
      <c r="E58" s="34" t="s">
        <v>32</v>
      </c>
      <c r="F58" s="34" t="s">
        <v>32</v>
      </c>
      <c r="G58" s="34" t="s">
        <v>32</v>
      </c>
      <c r="H58" s="34" t="s">
        <v>32</v>
      </c>
      <c r="I58" s="34" t="s">
        <v>32</v>
      </c>
      <c r="J58" s="34" t="s">
        <v>32</v>
      </c>
      <c r="K58" s="34" t="s">
        <v>32</v>
      </c>
      <c r="L58" s="34" t="s">
        <v>32</v>
      </c>
      <c r="M58" s="1"/>
    </row>
    <row r="59" spans="1:13" x14ac:dyDescent="0.25">
      <c r="A59" s="3" t="s">
        <v>109</v>
      </c>
      <c r="B59" s="3"/>
      <c r="C59" s="3"/>
      <c r="D59" s="3"/>
      <c r="E59" s="3"/>
      <c r="F59" s="3"/>
      <c r="G59" s="3"/>
      <c r="H59" s="3"/>
      <c r="I59" s="3"/>
      <c r="J59" s="3"/>
      <c r="K59" s="3"/>
      <c r="L59" s="3"/>
      <c r="M59" s="1"/>
    </row>
    <row r="60" spans="1:13" x14ac:dyDescent="0.25">
      <c r="A60" s="3" t="s">
        <v>110</v>
      </c>
      <c r="B60" s="3"/>
      <c r="C60" s="3"/>
      <c r="D60" s="3"/>
      <c r="E60" s="3"/>
      <c r="F60" s="3"/>
      <c r="G60" s="3"/>
      <c r="H60" s="3"/>
      <c r="I60" s="3"/>
      <c r="J60" s="3"/>
      <c r="K60" s="3"/>
      <c r="L60" s="3"/>
      <c r="M60" s="1"/>
    </row>
    <row r="61" spans="1:13" x14ac:dyDescent="0.25">
      <c r="A61" s="3" t="s">
        <v>111</v>
      </c>
      <c r="B61" s="3"/>
      <c r="C61" s="34" t="s">
        <v>112</v>
      </c>
      <c r="D61" s="3"/>
      <c r="E61" s="3"/>
      <c r="F61" s="34" t="s">
        <v>112</v>
      </c>
      <c r="G61" s="3"/>
      <c r="H61" s="34" t="s">
        <v>113</v>
      </c>
      <c r="I61" s="3"/>
      <c r="J61" s="3"/>
      <c r="K61" s="3"/>
      <c r="L61" s="3"/>
      <c r="M61" s="1"/>
    </row>
    <row r="62" spans="1:13" x14ac:dyDescent="0.25">
      <c r="A62" s="3" t="s">
        <v>114</v>
      </c>
      <c r="B62" s="3"/>
      <c r="C62" s="3"/>
      <c r="D62" s="3"/>
      <c r="E62" s="3"/>
      <c r="F62" s="3"/>
      <c r="G62" s="3"/>
      <c r="H62" s="3"/>
      <c r="I62" s="3"/>
      <c r="J62" s="3"/>
      <c r="K62" s="3"/>
      <c r="L62" s="3"/>
      <c r="M62" s="1"/>
    </row>
    <row r="63" spans="1:13" x14ac:dyDescent="0.25">
      <c r="A63" s="3" t="s">
        <v>115</v>
      </c>
      <c r="B63" s="3"/>
      <c r="C63" s="3"/>
      <c r="D63" s="3"/>
      <c r="E63" s="3"/>
      <c r="F63" s="3"/>
      <c r="G63" s="3"/>
      <c r="H63" s="3"/>
      <c r="I63" s="3"/>
      <c r="J63" s="3"/>
      <c r="K63" s="3"/>
      <c r="L63" s="3"/>
      <c r="M63" s="1"/>
    </row>
    <row r="64" spans="1:13" x14ac:dyDescent="0.25">
      <c r="A64" s="3" t="s">
        <v>116</v>
      </c>
      <c r="B64" s="3"/>
      <c r="C64" s="3"/>
      <c r="D64" s="3"/>
      <c r="E64" s="3"/>
      <c r="F64" s="3"/>
      <c r="G64" s="3"/>
      <c r="H64" s="3"/>
      <c r="I64" s="3"/>
      <c r="J64" s="3"/>
      <c r="K64" s="3"/>
      <c r="L64" s="3"/>
      <c r="M64" s="1"/>
    </row>
    <row r="65" spans="1:17" x14ac:dyDescent="0.25">
      <c r="A65" s="3" t="s">
        <v>117</v>
      </c>
      <c r="B65" s="34" t="s">
        <v>118</v>
      </c>
      <c r="C65" s="3"/>
      <c r="D65" s="3"/>
      <c r="E65" s="3"/>
      <c r="F65" s="3"/>
      <c r="G65" s="3"/>
      <c r="H65" s="3"/>
      <c r="I65" s="3"/>
      <c r="J65" s="3"/>
      <c r="K65" s="3"/>
      <c r="L65" s="3"/>
      <c r="M65" s="1"/>
    </row>
    <row r="66" spans="1:17" x14ac:dyDescent="0.25">
      <c r="A66" s="3" t="s">
        <v>119</v>
      </c>
      <c r="B66" s="3"/>
      <c r="C66" s="3"/>
      <c r="D66" s="3"/>
      <c r="E66" s="3"/>
      <c r="F66" s="3"/>
      <c r="G66" s="3"/>
      <c r="H66" s="3"/>
      <c r="I66" s="3"/>
      <c r="J66" s="3"/>
      <c r="K66" s="3"/>
      <c r="L66" s="3"/>
      <c r="M66" s="1"/>
    </row>
    <row r="67" spans="1:17" x14ac:dyDescent="0.25">
      <c r="A67" s="3" t="s">
        <v>120</v>
      </c>
      <c r="B67" s="3"/>
      <c r="C67" s="3"/>
      <c r="D67" s="3"/>
      <c r="E67" s="3"/>
      <c r="F67" s="3"/>
      <c r="G67" s="3"/>
      <c r="H67" s="36" t="s">
        <v>121</v>
      </c>
      <c r="I67" s="36" t="s">
        <v>122</v>
      </c>
      <c r="J67" s="3"/>
      <c r="K67" s="3"/>
      <c r="L67" s="3"/>
      <c r="M67" s="1"/>
    </row>
    <row r="68" spans="1:17" x14ac:dyDescent="0.25">
      <c r="A68" s="3" t="s">
        <v>123</v>
      </c>
      <c r="B68" s="34" t="s">
        <v>124</v>
      </c>
      <c r="C68" s="34" t="s">
        <v>124</v>
      </c>
      <c r="D68" s="34" t="s">
        <v>124</v>
      </c>
      <c r="E68" s="34" t="s">
        <v>124</v>
      </c>
      <c r="F68" s="34" t="s">
        <v>124</v>
      </c>
      <c r="G68" s="34" t="s">
        <v>124</v>
      </c>
      <c r="H68" s="34" t="s">
        <v>124</v>
      </c>
      <c r="I68" s="34" t="s">
        <v>124</v>
      </c>
      <c r="J68" s="34" t="s">
        <v>124</v>
      </c>
      <c r="K68" s="34" t="s">
        <v>124</v>
      </c>
      <c r="L68" s="34" t="s">
        <v>124</v>
      </c>
      <c r="M68" s="1"/>
    </row>
    <row r="69" spans="1:17" x14ac:dyDescent="0.25">
      <c r="A69" s="3" t="s">
        <v>125</v>
      </c>
      <c r="B69" s="3"/>
      <c r="C69" s="3"/>
      <c r="D69" s="3"/>
      <c r="E69" s="3"/>
      <c r="F69" s="3"/>
      <c r="G69" s="3"/>
      <c r="H69" s="3"/>
      <c r="I69" s="3"/>
      <c r="J69" s="3"/>
      <c r="K69" s="3"/>
      <c r="L69" s="3"/>
      <c r="M69" s="1"/>
    </row>
    <row r="70" spans="1:17" x14ac:dyDescent="0.25">
      <c r="A70" s="3" t="s">
        <v>126</v>
      </c>
      <c r="B70" s="3"/>
      <c r="C70" s="3"/>
      <c r="D70" s="3"/>
      <c r="E70" s="3"/>
      <c r="F70" s="3"/>
      <c r="G70" s="3"/>
      <c r="H70" s="3"/>
      <c r="I70" s="3"/>
      <c r="J70" s="3"/>
      <c r="K70" s="3"/>
      <c r="L70" s="3"/>
      <c r="M70" s="1"/>
    </row>
    <row r="71" spans="1:17" x14ac:dyDescent="0.25">
      <c r="A71" s="3" t="s">
        <v>127</v>
      </c>
      <c r="B71" s="34" t="s">
        <v>128</v>
      </c>
      <c r="C71" s="34" t="s">
        <v>128</v>
      </c>
      <c r="D71" s="34" t="s">
        <v>128</v>
      </c>
      <c r="E71" s="34" t="s">
        <v>128</v>
      </c>
      <c r="F71" s="34" t="s">
        <v>128</v>
      </c>
      <c r="G71" s="34" t="s">
        <v>128</v>
      </c>
      <c r="H71" s="34" t="s">
        <v>128</v>
      </c>
      <c r="I71" s="34" t="s">
        <v>128</v>
      </c>
      <c r="J71" s="34" t="s">
        <v>128</v>
      </c>
      <c r="K71" s="3"/>
      <c r="L71" s="3"/>
      <c r="M71" s="1"/>
    </row>
    <row r="72" spans="1:17" x14ac:dyDescent="0.25">
      <c r="A72" s="3" t="s">
        <v>129</v>
      </c>
      <c r="B72" s="3"/>
      <c r="C72" s="3"/>
      <c r="D72" s="3"/>
      <c r="E72" s="3"/>
      <c r="F72" s="3"/>
      <c r="G72" s="3"/>
      <c r="H72" s="3"/>
      <c r="I72" s="3"/>
      <c r="J72" s="3"/>
      <c r="K72" s="3"/>
      <c r="L72" s="3"/>
      <c r="M72" s="1"/>
    </row>
    <row r="73" spans="1:17" x14ac:dyDescent="0.25">
      <c r="A73" s="3" t="s">
        <v>130</v>
      </c>
      <c r="B73" s="3"/>
      <c r="C73" s="3"/>
      <c r="D73" s="3"/>
      <c r="E73" s="3"/>
      <c r="F73" s="3"/>
      <c r="G73" s="3"/>
      <c r="H73" s="3"/>
      <c r="I73" s="3"/>
      <c r="J73" s="3"/>
      <c r="K73" s="3"/>
      <c r="L73" s="3"/>
      <c r="M73" s="1"/>
    </row>
    <row r="74" spans="1:17" x14ac:dyDescent="0.25">
      <c r="A74" s="5" t="s">
        <v>131</v>
      </c>
      <c r="B74" s="34" t="s">
        <v>132</v>
      </c>
      <c r="C74" s="34" t="s">
        <v>133</v>
      </c>
      <c r="D74" s="34" t="s">
        <v>133</v>
      </c>
      <c r="E74" s="5"/>
      <c r="F74" s="34" t="s">
        <v>133</v>
      </c>
      <c r="G74" s="5"/>
      <c r="H74" s="34" t="s">
        <v>134</v>
      </c>
      <c r="I74" s="34" t="s">
        <v>135</v>
      </c>
      <c r="J74" s="34" t="s">
        <v>133</v>
      </c>
      <c r="K74" s="34" t="s">
        <v>136</v>
      </c>
      <c r="L74" s="34" t="s">
        <v>136</v>
      </c>
      <c r="M74" s="6"/>
      <c r="N74" s="7"/>
      <c r="O74" s="7"/>
      <c r="P74" s="7"/>
      <c r="Q74" s="7"/>
    </row>
    <row r="75" spans="1:17" x14ac:dyDescent="0.25">
      <c r="A75" s="3" t="s">
        <v>137</v>
      </c>
      <c r="B75" s="34" t="s">
        <v>138</v>
      </c>
      <c r="C75" s="3"/>
      <c r="D75" s="3"/>
      <c r="E75" s="3"/>
      <c r="F75" s="3"/>
      <c r="G75" s="3"/>
      <c r="H75" s="3"/>
      <c r="I75" s="3"/>
      <c r="J75" s="3"/>
      <c r="K75" s="3"/>
      <c r="L75" s="3"/>
      <c r="M75" s="1"/>
    </row>
    <row r="76" spans="1:17" x14ac:dyDescent="0.25">
      <c r="A76" s="3" t="s">
        <v>139</v>
      </c>
      <c r="B76" s="3"/>
      <c r="C76" s="3"/>
      <c r="D76" s="3"/>
      <c r="E76" s="3"/>
      <c r="F76" s="3"/>
      <c r="G76" s="3"/>
      <c r="H76" s="3"/>
      <c r="I76" s="3"/>
      <c r="J76" s="3"/>
      <c r="K76" s="3"/>
      <c r="L76" s="3"/>
      <c r="M76" s="1"/>
    </row>
    <row r="77" spans="1:17" x14ac:dyDescent="0.25">
      <c r="A77" s="3" t="s">
        <v>140</v>
      </c>
      <c r="B77" s="3"/>
      <c r="C77" s="3"/>
      <c r="D77" s="3"/>
      <c r="E77" s="3"/>
      <c r="F77" s="3"/>
      <c r="G77" s="3"/>
      <c r="H77" s="3"/>
      <c r="I77" s="3"/>
      <c r="J77" s="3"/>
      <c r="K77" s="3"/>
      <c r="L77" s="3"/>
      <c r="M77" s="1"/>
    </row>
    <row r="78" spans="1:17" x14ac:dyDescent="0.25">
      <c r="A78" s="3" t="s">
        <v>141</v>
      </c>
      <c r="B78" s="3"/>
      <c r="C78" s="3"/>
      <c r="D78" s="3"/>
      <c r="E78" s="3"/>
      <c r="F78" s="3"/>
      <c r="G78" s="3"/>
      <c r="H78" s="3"/>
      <c r="I78" s="3"/>
      <c r="J78" s="3"/>
      <c r="K78" s="3"/>
      <c r="L78" s="3"/>
      <c r="M78" s="1"/>
    </row>
    <row r="79" spans="1:17" x14ac:dyDescent="0.25">
      <c r="A79" s="3" t="s">
        <v>142</v>
      </c>
      <c r="B79" s="3"/>
      <c r="C79" s="3"/>
      <c r="D79" s="3"/>
      <c r="E79" s="3"/>
      <c r="F79" s="3"/>
      <c r="G79" s="3"/>
      <c r="H79" s="3"/>
      <c r="I79" s="3"/>
      <c r="J79" s="3"/>
      <c r="K79" s="3"/>
      <c r="L79" s="3"/>
      <c r="M79" s="1"/>
    </row>
    <row r="80" spans="1:17" x14ac:dyDescent="0.25">
      <c r="A80" s="3" t="s">
        <v>143</v>
      </c>
      <c r="B80" s="3"/>
      <c r="C80" s="3"/>
      <c r="D80" s="3"/>
      <c r="E80" s="3"/>
      <c r="F80" s="3"/>
      <c r="G80" s="3"/>
      <c r="H80" s="3"/>
      <c r="I80" s="3"/>
      <c r="J80" s="3"/>
      <c r="K80" s="3"/>
      <c r="L80" s="3"/>
      <c r="M80" s="1"/>
    </row>
    <row r="81" spans="1:17" x14ac:dyDescent="0.25">
      <c r="A81" s="3" t="s">
        <v>144</v>
      </c>
      <c r="B81" s="3"/>
      <c r="C81" s="3"/>
      <c r="D81" s="3"/>
      <c r="E81" s="3"/>
      <c r="F81" s="3"/>
      <c r="G81" s="3"/>
      <c r="H81" s="3"/>
      <c r="I81" s="3"/>
      <c r="J81" s="3"/>
      <c r="K81" s="3"/>
      <c r="L81" s="3"/>
      <c r="M81" s="1"/>
    </row>
    <row r="82" spans="1:17" x14ac:dyDescent="0.25">
      <c r="A82" s="3" t="s">
        <v>145</v>
      </c>
      <c r="B82" s="34" t="s">
        <v>146</v>
      </c>
      <c r="C82" s="3"/>
      <c r="D82" s="3"/>
      <c r="E82" s="3"/>
      <c r="F82" s="3"/>
      <c r="G82" s="3"/>
      <c r="H82" s="3"/>
      <c r="I82" s="3"/>
      <c r="J82" s="3"/>
      <c r="K82" s="3"/>
      <c r="L82" s="3"/>
      <c r="M82" s="1"/>
    </row>
    <row r="83" spans="1:17" x14ac:dyDescent="0.25">
      <c r="A83" s="3" t="s">
        <v>147</v>
      </c>
      <c r="B83" s="3"/>
      <c r="C83" s="3"/>
      <c r="D83" s="3"/>
      <c r="E83" s="3"/>
      <c r="F83" s="3"/>
      <c r="G83" s="3"/>
      <c r="H83" s="3"/>
      <c r="I83" s="3"/>
      <c r="J83" s="3"/>
      <c r="K83" s="3"/>
      <c r="L83" s="3"/>
      <c r="M83" s="1"/>
    </row>
    <row r="84" spans="1:17" x14ac:dyDescent="0.25">
      <c r="A84" s="3" t="s">
        <v>148</v>
      </c>
      <c r="B84" s="3"/>
      <c r="C84" s="3"/>
      <c r="D84" s="3"/>
      <c r="E84" s="3"/>
      <c r="F84" s="3"/>
      <c r="G84" s="3"/>
      <c r="H84" s="3"/>
      <c r="I84" s="3"/>
      <c r="J84" s="3"/>
      <c r="K84" s="3"/>
      <c r="L84" s="3"/>
      <c r="M84" s="1"/>
    </row>
    <row r="85" spans="1:17" x14ac:dyDescent="0.25">
      <c r="A85" s="3" t="s">
        <v>149</v>
      </c>
      <c r="B85" s="3"/>
      <c r="C85" s="3"/>
      <c r="D85" s="3"/>
      <c r="E85" s="3"/>
      <c r="F85" s="3"/>
      <c r="G85" s="3"/>
      <c r="H85" s="3"/>
      <c r="I85" s="3"/>
      <c r="J85" s="3"/>
      <c r="K85" s="3"/>
      <c r="L85" s="3"/>
      <c r="M85" s="1"/>
    </row>
    <row r="86" spans="1:17" x14ac:dyDescent="0.25">
      <c r="A86" s="3" t="s">
        <v>150</v>
      </c>
      <c r="B86" s="3"/>
      <c r="C86" s="3"/>
      <c r="D86" s="3"/>
      <c r="E86" s="3"/>
      <c r="F86" s="3"/>
      <c r="G86" s="3"/>
      <c r="H86" s="3"/>
      <c r="I86" s="3"/>
      <c r="J86" s="3"/>
      <c r="K86" s="3"/>
      <c r="L86" s="3"/>
      <c r="M86" s="1"/>
    </row>
    <row r="87" spans="1:17" x14ac:dyDescent="0.25">
      <c r="A87" s="3" t="s">
        <v>151</v>
      </c>
      <c r="B87" s="3"/>
      <c r="C87" s="3"/>
      <c r="D87" s="3"/>
      <c r="E87" s="3"/>
      <c r="F87" s="3"/>
      <c r="G87" s="3"/>
      <c r="H87" s="3"/>
      <c r="I87" s="3"/>
      <c r="J87" s="3"/>
      <c r="K87" s="3"/>
      <c r="L87" s="3"/>
      <c r="M87" s="1"/>
    </row>
    <row r="88" spans="1:17" x14ac:dyDescent="0.25">
      <c r="A88" s="3" t="s">
        <v>152</v>
      </c>
      <c r="B88" s="3"/>
      <c r="C88" s="3"/>
      <c r="D88" s="3"/>
      <c r="E88" s="3"/>
      <c r="F88" s="3"/>
      <c r="G88" s="3"/>
      <c r="H88" s="3"/>
      <c r="I88" s="3"/>
      <c r="J88" s="3"/>
      <c r="K88" s="3"/>
      <c r="L88" s="3"/>
      <c r="M88" s="1"/>
    </row>
    <row r="89" spans="1:17" x14ac:dyDescent="0.25">
      <c r="A89" s="3" t="s">
        <v>153</v>
      </c>
      <c r="B89" s="3"/>
      <c r="C89" s="3"/>
      <c r="D89" s="3"/>
      <c r="E89" s="3"/>
      <c r="F89" s="3"/>
      <c r="G89" s="3"/>
      <c r="H89" s="3"/>
      <c r="I89" s="3"/>
      <c r="J89" s="3"/>
      <c r="K89" s="3"/>
      <c r="L89" s="3"/>
      <c r="M89" s="1"/>
    </row>
    <row r="90" spans="1:17" x14ac:dyDescent="0.25">
      <c r="A90" s="3" t="s">
        <v>154</v>
      </c>
      <c r="B90" s="3"/>
      <c r="C90" s="3"/>
      <c r="D90" s="3"/>
      <c r="E90" s="3"/>
      <c r="F90" s="3"/>
      <c r="G90" s="3"/>
      <c r="H90" s="3"/>
      <c r="I90" s="3"/>
      <c r="J90" s="3"/>
      <c r="K90" s="3"/>
      <c r="L90" s="3"/>
      <c r="M90" s="1"/>
    </row>
    <row r="91" spans="1:17" x14ac:dyDescent="0.25">
      <c r="A91" s="3" t="s">
        <v>155</v>
      </c>
      <c r="B91" s="3"/>
      <c r="C91" s="3"/>
      <c r="D91" s="3"/>
      <c r="E91" s="3"/>
      <c r="F91" s="3"/>
      <c r="G91" s="3"/>
      <c r="H91" s="3"/>
      <c r="I91" s="3"/>
      <c r="J91" s="3"/>
      <c r="K91" s="3"/>
      <c r="L91" s="3"/>
      <c r="M91" s="1"/>
    </row>
    <row r="92" spans="1:17" x14ac:dyDescent="0.25">
      <c r="A92" s="3" t="s">
        <v>156</v>
      </c>
      <c r="B92" s="34" t="s">
        <v>118</v>
      </c>
      <c r="C92" s="3"/>
      <c r="D92" s="3"/>
      <c r="E92" s="3"/>
      <c r="F92" s="3"/>
      <c r="G92" s="3"/>
      <c r="H92" s="3"/>
      <c r="I92" s="3"/>
      <c r="J92" s="3"/>
      <c r="K92" s="3"/>
      <c r="L92" s="3"/>
      <c r="M92" s="1"/>
    </row>
    <row r="93" spans="1:17" x14ac:dyDescent="0.25">
      <c r="A93" s="5" t="s">
        <v>157</v>
      </c>
      <c r="B93" s="34" t="s">
        <v>158</v>
      </c>
      <c r="C93" s="5"/>
      <c r="D93" s="5"/>
      <c r="E93" s="5"/>
      <c r="F93" s="5"/>
      <c r="G93" s="5"/>
      <c r="H93" s="5"/>
      <c r="I93" s="5"/>
      <c r="J93" s="5"/>
      <c r="K93" s="5"/>
      <c r="L93" s="5"/>
      <c r="M93" s="6"/>
      <c r="N93" s="7"/>
      <c r="O93" s="7"/>
      <c r="P93" s="7"/>
      <c r="Q93" s="7"/>
    </row>
    <row r="94" spans="1:17" x14ac:dyDescent="0.25">
      <c r="A94" s="3" t="s">
        <v>159</v>
      </c>
      <c r="B94" s="3"/>
      <c r="C94" s="3"/>
      <c r="D94" s="3"/>
      <c r="E94" s="3"/>
      <c r="F94" s="3"/>
      <c r="G94" s="3"/>
      <c r="H94" s="3"/>
      <c r="I94" s="3"/>
      <c r="J94" s="3"/>
      <c r="K94" s="3"/>
      <c r="L94" s="3"/>
      <c r="M94" s="1"/>
    </row>
    <row r="95" spans="1:17" x14ac:dyDescent="0.25">
      <c r="A95" s="3" t="s">
        <v>160</v>
      </c>
      <c r="B95" s="3"/>
      <c r="C95" s="3"/>
      <c r="D95" s="3"/>
      <c r="E95" s="3"/>
      <c r="F95" s="3"/>
      <c r="G95" s="3"/>
      <c r="H95" s="3"/>
      <c r="I95" s="3"/>
      <c r="J95" s="3"/>
      <c r="K95" s="3"/>
      <c r="L95" s="3"/>
      <c r="M95" s="1"/>
    </row>
    <row r="96" spans="1:17" x14ac:dyDescent="0.25">
      <c r="A96" s="3" t="s">
        <v>161</v>
      </c>
      <c r="B96" s="3"/>
      <c r="C96" s="3"/>
      <c r="D96" s="3"/>
      <c r="E96" s="3"/>
      <c r="F96" s="3"/>
      <c r="G96" s="3"/>
      <c r="H96" s="3"/>
      <c r="I96" s="3"/>
      <c r="J96" s="3"/>
      <c r="K96" s="3"/>
      <c r="L96" s="3"/>
      <c r="M96" s="1"/>
    </row>
    <row r="97" spans="1:13" x14ac:dyDescent="0.25">
      <c r="A97" s="3" t="s">
        <v>162</v>
      </c>
      <c r="B97" s="9"/>
      <c r="C97" s="3"/>
      <c r="D97" s="3"/>
      <c r="E97" s="3"/>
      <c r="F97" s="3"/>
      <c r="G97" s="3"/>
      <c r="H97" s="3"/>
      <c r="I97" s="3"/>
      <c r="J97" s="3"/>
      <c r="K97" s="3"/>
      <c r="L97" s="3"/>
      <c r="M97" s="1"/>
    </row>
    <row r="98" spans="1:13" x14ac:dyDescent="0.25">
      <c r="A98" s="3" t="s">
        <v>163</v>
      </c>
      <c r="B98" s="36" t="s">
        <v>164</v>
      </c>
      <c r="C98" s="3"/>
      <c r="D98" s="3"/>
      <c r="E98" s="3"/>
      <c r="F98" s="3"/>
      <c r="G98" s="3"/>
      <c r="H98" s="3"/>
      <c r="I98" s="3"/>
      <c r="J98" s="3"/>
      <c r="K98" s="3"/>
      <c r="L98" s="3"/>
      <c r="M98" s="1"/>
    </row>
    <row r="99" spans="1:13" x14ac:dyDescent="0.25">
      <c r="A99" s="3" t="s">
        <v>165</v>
      </c>
      <c r="B99" s="36" t="s">
        <v>166</v>
      </c>
      <c r="C99" s="3"/>
      <c r="D99" s="3"/>
      <c r="E99" s="3"/>
      <c r="F99" s="3"/>
      <c r="G99" s="3"/>
      <c r="H99" s="3"/>
      <c r="I99" s="3"/>
      <c r="J99" s="3"/>
      <c r="K99" s="3"/>
      <c r="L99" s="3"/>
      <c r="M99" s="1"/>
    </row>
    <row r="100" spans="1:13" x14ac:dyDescent="0.25">
      <c r="A100" s="3" t="s">
        <v>167</v>
      </c>
      <c r="B100" s="3"/>
      <c r="C100" s="3"/>
      <c r="D100" s="3"/>
      <c r="E100" s="3"/>
      <c r="F100" s="3"/>
      <c r="G100" s="3"/>
      <c r="H100" s="3"/>
      <c r="I100" s="3"/>
      <c r="J100" s="3"/>
      <c r="K100" s="3"/>
      <c r="L100" s="3"/>
      <c r="M100" s="1"/>
    </row>
    <row r="101" spans="1:13" x14ac:dyDescent="0.25">
      <c r="A101" s="3" t="s">
        <v>168</v>
      </c>
      <c r="B101" s="3"/>
      <c r="C101" s="3"/>
      <c r="D101" s="3"/>
      <c r="E101" s="3"/>
      <c r="F101" s="3"/>
      <c r="G101" s="3"/>
      <c r="H101" s="3"/>
      <c r="I101" s="3"/>
      <c r="J101" s="3"/>
      <c r="K101" s="3"/>
      <c r="L101" s="3"/>
      <c r="M101" s="1"/>
    </row>
    <row r="102" spans="1:13" x14ac:dyDescent="0.25">
      <c r="A102" s="3" t="s">
        <v>169</v>
      </c>
      <c r="B102" s="34" t="s">
        <v>170</v>
      </c>
      <c r="C102" s="3"/>
      <c r="D102" s="3"/>
      <c r="E102" s="3"/>
      <c r="F102" s="3"/>
      <c r="G102" s="3"/>
      <c r="H102" s="3"/>
      <c r="I102" s="3"/>
      <c r="J102" s="3"/>
      <c r="K102" s="3"/>
      <c r="L102" s="3"/>
      <c r="M102" s="1"/>
    </row>
    <row r="103" spans="1:13" x14ac:dyDescent="0.25">
      <c r="A103" s="3" t="s">
        <v>171</v>
      </c>
      <c r="B103" s="3"/>
      <c r="C103" s="3"/>
      <c r="D103" s="3"/>
      <c r="E103" s="3"/>
      <c r="F103" s="3"/>
      <c r="G103" s="3"/>
      <c r="H103" s="3"/>
      <c r="I103" s="3"/>
      <c r="J103" s="3"/>
      <c r="K103" s="3"/>
      <c r="L103" s="3"/>
      <c r="M103" s="1"/>
    </row>
    <row r="104" spans="1:13" x14ac:dyDescent="0.25">
      <c r="A104" s="3" t="s">
        <v>172</v>
      </c>
      <c r="B104" s="3"/>
      <c r="C104" s="3"/>
      <c r="D104" s="3"/>
      <c r="E104" s="3"/>
      <c r="F104" s="3"/>
      <c r="G104" s="3"/>
      <c r="H104" s="3"/>
      <c r="I104" s="3"/>
      <c r="J104" s="3"/>
      <c r="K104" s="3"/>
      <c r="L104" s="3"/>
      <c r="M104" s="1"/>
    </row>
    <row r="105" spans="1:13" x14ac:dyDescent="0.25">
      <c r="A105" s="3" t="s">
        <v>173</v>
      </c>
      <c r="B105" s="3"/>
      <c r="C105" s="3"/>
      <c r="D105" s="3"/>
      <c r="E105" s="3"/>
      <c r="F105" s="3"/>
      <c r="G105" s="3"/>
      <c r="H105" s="3"/>
      <c r="I105" s="3"/>
      <c r="J105" s="3"/>
      <c r="K105" s="3"/>
      <c r="L105" s="3"/>
      <c r="M105" s="1"/>
    </row>
    <row r="106" spans="1:13" x14ac:dyDescent="0.25">
      <c r="A106" s="3" t="s">
        <v>174</v>
      </c>
      <c r="B106" s="3"/>
      <c r="C106" s="3"/>
      <c r="D106" s="3"/>
      <c r="E106" s="3"/>
      <c r="F106" s="3"/>
      <c r="G106" s="3"/>
      <c r="H106" s="3"/>
      <c r="I106" s="3"/>
      <c r="J106" s="3"/>
      <c r="K106" s="3"/>
      <c r="L106" s="3"/>
      <c r="M106" s="1"/>
    </row>
    <row r="107" spans="1:13" x14ac:dyDescent="0.25">
      <c r="A107" s="3" t="s">
        <v>175</v>
      </c>
      <c r="B107" s="3"/>
      <c r="C107" s="3"/>
      <c r="D107" s="3"/>
      <c r="E107" s="3"/>
      <c r="F107" s="3"/>
      <c r="G107" s="3"/>
      <c r="H107" s="3"/>
      <c r="I107" s="3"/>
      <c r="J107" s="3"/>
      <c r="K107" s="3"/>
      <c r="L107" s="3"/>
      <c r="M107" s="1"/>
    </row>
    <row r="108" spans="1:13" x14ac:dyDescent="0.25">
      <c r="A108" s="3" t="s">
        <v>176</v>
      </c>
      <c r="B108" s="3"/>
      <c r="C108" s="3"/>
      <c r="D108" s="3"/>
      <c r="E108" s="3"/>
      <c r="F108" s="3"/>
      <c r="G108" s="3"/>
      <c r="H108" s="3"/>
      <c r="I108" s="3"/>
      <c r="J108" s="3"/>
      <c r="K108" s="3"/>
      <c r="L108" s="3"/>
      <c r="M108" s="1"/>
    </row>
    <row r="109" spans="1:13" x14ac:dyDescent="0.25">
      <c r="A109" s="3" t="s">
        <v>177</v>
      </c>
      <c r="B109" s="3"/>
      <c r="C109" s="3"/>
      <c r="D109" s="3"/>
      <c r="E109" s="3"/>
      <c r="F109" s="3"/>
      <c r="G109" s="3"/>
      <c r="H109" s="3"/>
      <c r="I109" s="3"/>
      <c r="J109" s="3"/>
      <c r="K109" s="3"/>
      <c r="L109" s="3"/>
      <c r="M109" s="1"/>
    </row>
    <row r="110" spans="1:13" x14ac:dyDescent="0.25">
      <c r="A110" s="3" t="s">
        <v>178</v>
      </c>
      <c r="B110" s="3"/>
      <c r="C110" s="3"/>
      <c r="D110" s="3"/>
      <c r="E110" s="3"/>
      <c r="F110" s="3"/>
      <c r="G110" s="3"/>
      <c r="H110" s="3"/>
      <c r="I110" s="3"/>
      <c r="J110" s="3"/>
      <c r="K110" s="3"/>
      <c r="L110" s="3"/>
      <c r="M110" s="1"/>
    </row>
    <row r="111" spans="1:13" x14ac:dyDescent="0.25">
      <c r="A111" s="3" t="s">
        <v>179</v>
      </c>
      <c r="B111" s="3"/>
      <c r="C111" s="3"/>
      <c r="D111" s="3"/>
      <c r="E111" s="3"/>
      <c r="F111" s="3"/>
      <c r="G111" s="3"/>
      <c r="H111" s="3"/>
      <c r="I111" s="3"/>
      <c r="J111" s="3"/>
      <c r="K111" s="3"/>
      <c r="L111" s="3"/>
      <c r="M111" s="1"/>
    </row>
    <row r="112" spans="1:13" x14ac:dyDescent="0.25">
      <c r="A112" s="3" t="s">
        <v>180</v>
      </c>
      <c r="B112" s="3"/>
      <c r="C112" s="3"/>
      <c r="D112" s="3"/>
      <c r="E112" s="3"/>
      <c r="F112" s="3"/>
      <c r="G112" s="3"/>
      <c r="H112" s="3"/>
      <c r="I112" s="3"/>
      <c r="J112" s="3"/>
      <c r="K112" s="3"/>
      <c r="L112" s="3"/>
      <c r="M112" s="1"/>
    </row>
    <row r="113" spans="1:13" x14ac:dyDescent="0.25">
      <c r="A113" s="3" t="s">
        <v>181</v>
      </c>
      <c r="B113" s="3"/>
      <c r="C113" s="3"/>
      <c r="D113" s="3"/>
      <c r="E113" s="3"/>
      <c r="F113" s="3"/>
      <c r="G113" s="3"/>
      <c r="H113" s="3"/>
      <c r="I113" s="3"/>
      <c r="J113" s="3"/>
      <c r="K113" s="3"/>
      <c r="L113" s="3"/>
      <c r="M113" s="1"/>
    </row>
    <row r="114" spans="1:13" x14ac:dyDescent="0.25">
      <c r="A114" s="3" t="s">
        <v>182</v>
      </c>
      <c r="B114" s="3"/>
      <c r="C114" s="3"/>
      <c r="D114" s="3"/>
      <c r="E114" s="3"/>
      <c r="F114" s="3"/>
      <c r="G114" s="3"/>
      <c r="H114" s="3"/>
      <c r="I114" s="3"/>
      <c r="J114" s="3"/>
      <c r="K114" s="3"/>
      <c r="L114" s="3"/>
      <c r="M114" s="1"/>
    </row>
    <row r="115" spans="1:13" x14ac:dyDescent="0.25">
      <c r="A115" s="3" t="s">
        <v>183</v>
      </c>
      <c r="B115" s="3"/>
      <c r="C115" s="3"/>
      <c r="D115" s="3"/>
      <c r="E115" s="3"/>
      <c r="F115" s="3"/>
      <c r="G115" s="3"/>
      <c r="H115" s="3"/>
      <c r="I115" s="3"/>
      <c r="J115" s="3"/>
      <c r="K115" s="3"/>
      <c r="L115" s="3"/>
      <c r="M115" s="1"/>
    </row>
    <row r="116" spans="1:13" x14ac:dyDescent="0.25">
      <c r="A116" s="3" t="s">
        <v>184</v>
      </c>
      <c r="B116" s="3"/>
      <c r="C116" s="3"/>
      <c r="D116" s="3"/>
      <c r="E116" s="3"/>
      <c r="F116" s="3"/>
      <c r="G116" s="3"/>
      <c r="H116" s="3"/>
      <c r="I116" s="3"/>
      <c r="J116" s="3"/>
      <c r="K116" s="3"/>
      <c r="L116" s="3"/>
      <c r="M116" s="1"/>
    </row>
    <row r="117" spans="1:13" x14ac:dyDescent="0.25">
      <c r="A117" s="3" t="s">
        <v>185</v>
      </c>
      <c r="B117" s="3"/>
      <c r="C117" s="3"/>
      <c r="D117" s="3"/>
      <c r="E117" s="3"/>
      <c r="F117" s="3"/>
      <c r="G117" s="3"/>
      <c r="H117" s="3"/>
      <c r="I117" s="3"/>
      <c r="J117" s="3"/>
      <c r="K117" s="3"/>
      <c r="L117" s="3"/>
      <c r="M117" s="1"/>
    </row>
    <row r="118" spans="1:13" x14ac:dyDescent="0.25">
      <c r="A118" s="4" t="s">
        <v>186</v>
      </c>
      <c r="B118" s="3"/>
      <c r="C118" s="3"/>
      <c r="D118" s="3"/>
      <c r="E118" s="3"/>
      <c r="F118" s="3"/>
      <c r="G118" s="3"/>
      <c r="H118" s="3"/>
      <c r="I118" s="3"/>
      <c r="J118" s="3"/>
      <c r="K118" s="3"/>
      <c r="L118" s="3"/>
      <c r="M118" s="1"/>
    </row>
    <row r="119" spans="1:13" x14ac:dyDescent="0.25">
      <c r="A119" s="3" t="s">
        <v>187</v>
      </c>
      <c r="B119" s="3"/>
      <c r="C119" s="3"/>
      <c r="D119" s="3"/>
      <c r="E119" s="3"/>
      <c r="F119" s="3"/>
      <c r="G119" s="3"/>
      <c r="H119" s="3"/>
      <c r="I119" s="3"/>
      <c r="J119" s="3"/>
      <c r="K119" s="3"/>
      <c r="L119" s="3"/>
      <c r="M119" s="1"/>
    </row>
    <row r="120" spans="1:13" x14ac:dyDescent="0.25">
      <c r="A120" s="3" t="s">
        <v>188</v>
      </c>
      <c r="B120" s="3"/>
      <c r="C120" s="3"/>
      <c r="D120" s="3"/>
      <c r="E120" s="3"/>
      <c r="F120" s="3"/>
      <c r="G120" s="3"/>
      <c r="H120" s="3"/>
      <c r="I120" s="3"/>
      <c r="J120" s="3"/>
      <c r="K120" s="3"/>
      <c r="L120" s="3"/>
      <c r="M120" s="1"/>
    </row>
    <row r="121" spans="1:13" x14ac:dyDescent="0.25">
      <c r="A121" s="3" t="s">
        <v>189</v>
      </c>
      <c r="B121" s="3"/>
      <c r="C121" s="3"/>
      <c r="D121" s="3"/>
      <c r="E121" s="3"/>
      <c r="F121" s="3"/>
      <c r="G121" s="3"/>
      <c r="H121" s="3"/>
      <c r="I121" s="3"/>
      <c r="J121" s="3"/>
      <c r="K121" s="3"/>
      <c r="L121" s="3"/>
      <c r="M121" s="1"/>
    </row>
    <row r="122" spans="1:13" x14ac:dyDescent="0.25">
      <c r="A122" s="3" t="s">
        <v>190</v>
      </c>
      <c r="B122" s="3"/>
      <c r="C122" s="3"/>
      <c r="D122" s="3"/>
      <c r="E122" s="3"/>
      <c r="F122" s="3"/>
      <c r="G122" s="3"/>
      <c r="H122" s="3"/>
      <c r="I122" s="3"/>
      <c r="J122" s="3"/>
      <c r="K122" s="3"/>
      <c r="L122" s="3"/>
      <c r="M122" s="1"/>
    </row>
    <row r="123" spans="1:13" x14ac:dyDescent="0.25">
      <c r="A123" s="3" t="s">
        <v>191</v>
      </c>
      <c r="B123" s="3"/>
      <c r="C123" s="3"/>
      <c r="D123" s="3"/>
      <c r="E123" s="3"/>
      <c r="F123" s="3"/>
      <c r="G123" s="3"/>
      <c r="H123" s="3"/>
      <c r="I123" s="3"/>
      <c r="J123" s="3"/>
      <c r="K123" s="3"/>
      <c r="L123" s="3"/>
      <c r="M123" s="1"/>
    </row>
    <row r="124" spans="1:13" x14ac:dyDescent="0.25">
      <c r="A124" s="3" t="s">
        <v>192</v>
      </c>
      <c r="B124" s="3"/>
      <c r="C124" s="3"/>
      <c r="D124" s="3"/>
      <c r="E124" s="3"/>
      <c r="F124" s="3"/>
      <c r="G124" s="3"/>
      <c r="H124" s="3"/>
      <c r="I124" s="3"/>
      <c r="J124" s="3"/>
      <c r="K124" s="3"/>
      <c r="L124" s="3"/>
      <c r="M124" s="1"/>
    </row>
    <row r="125" spans="1:13" x14ac:dyDescent="0.25">
      <c r="A125" s="3" t="s">
        <v>193</v>
      </c>
      <c r="B125" s="3"/>
      <c r="C125" s="3"/>
      <c r="D125" s="3"/>
      <c r="E125" s="3"/>
      <c r="F125" s="3"/>
      <c r="G125" s="3"/>
      <c r="H125" s="3"/>
      <c r="I125" s="3"/>
      <c r="J125" s="3"/>
      <c r="K125" s="3"/>
      <c r="L125" s="3"/>
      <c r="M125" s="1"/>
    </row>
    <row r="126" spans="1:13" x14ac:dyDescent="0.25">
      <c r="A126" s="3" t="s">
        <v>194</v>
      </c>
      <c r="B126" s="3"/>
      <c r="C126" s="3"/>
      <c r="D126" s="3"/>
      <c r="E126" s="3"/>
      <c r="F126" s="3"/>
      <c r="G126" s="3"/>
      <c r="H126" s="3"/>
      <c r="I126" s="3"/>
      <c r="J126" s="3"/>
      <c r="K126" s="3"/>
      <c r="L126" s="3"/>
      <c r="M126" s="1"/>
    </row>
    <row r="127" spans="1:13" x14ac:dyDescent="0.25">
      <c r="A127" s="3" t="s">
        <v>195</v>
      </c>
      <c r="B127" s="3"/>
      <c r="C127" s="3"/>
      <c r="D127" s="3"/>
      <c r="E127" s="3"/>
      <c r="F127" s="3"/>
      <c r="G127" s="3"/>
      <c r="H127" s="3"/>
      <c r="I127" s="3"/>
      <c r="J127" s="3"/>
      <c r="K127" s="3"/>
      <c r="L127" s="3"/>
      <c r="M127" s="1"/>
    </row>
    <row r="128" spans="1:13" x14ac:dyDescent="0.25">
      <c r="A128" s="3" t="s">
        <v>196</v>
      </c>
      <c r="B128" s="3"/>
      <c r="C128" s="3"/>
      <c r="D128" s="3"/>
      <c r="E128" s="3"/>
      <c r="F128" s="3"/>
      <c r="G128" s="3"/>
      <c r="H128" s="3"/>
      <c r="I128" s="3"/>
      <c r="J128" s="3"/>
      <c r="K128" s="3"/>
      <c r="L128" s="3"/>
      <c r="M128" s="1"/>
    </row>
    <row r="129" spans="1:13" x14ac:dyDescent="0.25">
      <c r="A129" s="3" t="s">
        <v>197</v>
      </c>
      <c r="B129" s="3"/>
      <c r="C129" s="3"/>
      <c r="D129" s="3"/>
      <c r="E129" s="3"/>
      <c r="F129" s="3"/>
      <c r="G129" s="3"/>
      <c r="H129" s="3"/>
      <c r="I129" s="3"/>
      <c r="J129" s="3"/>
      <c r="K129" s="3"/>
      <c r="L129" s="3"/>
      <c r="M129" s="1"/>
    </row>
    <row r="130" spans="1:13" x14ac:dyDescent="0.25">
      <c r="A130" s="3" t="s">
        <v>198</v>
      </c>
      <c r="B130" s="3"/>
      <c r="C130" s="3"/>
      <c r="D130" s="3"/>
      <c r="E130" s="3"/>
      <c r="F130" s="3"/>
      <c r="G130" s="3"/>
      <c r="H130" s="3"/>
      <c r="I130" s="3"/>
      <c r="J130" s="3"/>
      <c r="K130" s="3"/>
      <c r="L130" s="3"/>
      <c r="M130" s="1"/>
    </row>
    <row r="131" spans="1:13" x14ac:dyDescent="0.25">
      <c r="A131" s="3" t="s">
        <v>199</v>
      </c>
      <c r="B131" s="3"/>
      <c r="C131" s="3"/>
      <c r="D131" s="3"/>
      <c r="E131" s="3"/>
      <c r="F131" s="3"/>
      <c r="G131" s="3"/>
      <c r="H131" s="3"/>
      <c r="I131" s="3"/>
      <c r="J131" s="3"/>
      <c r="K131" s="3"/>
      <c r="L131" s="3"/>
      <c r="M131" s="1"/>
    </row>
    <row r="132" spans="1:13" x14ac:dyDescent="0.25">
      <c r="A132" s="3" t="s">
        <v>200</v>
      </c>
      <c r="B132" s="3"/>
      <c r="C132" s="3"/>
      <c r="D132" s="3"/>
      <c r="E132" s="3"/>
      <c r="F132" s="3"/>
      <c r="G132" s="3"/>
      <c r="H132" s="3"/>
      <c r="I132" s="3"/>
      <c r="J132" s="3"/>
      <c r="K132" s="3"/>
      <c r="L132" s="3"/>
      <c r="M132" s="1"/>
    </row>
    <row r="133" spans="1:13" x14ac:dyDescent="0.25">
      <c r="A133" s="3" t="s">
        <v>201</v>
      </c>
      <c r="B133" s="3"/>
      <c r="C133" s="3"/>
      <c r="D133" s="3"/>
      <c r="E133" s="3"/>
      <c r="F133" s="3"/>
      <c r="G133" s="3"/>
      <c r="H133" s="3"/>
      <c r="I133" s="3"/>
      <c r="J133" s="3"/>
      <c r="K133" s="3"/>
      <c r="L133" s="3"/>
      <c r="M133" s="1"/>
    </row>
    <row r="134" spans="1:13" x14ac:dyDescent="0.25">
      <c r="A134" s="3" t="s">
        <v>202</v>
      </c>
      <c r="B134" s="3"/>
      <c r="C134" s="3"/>
      <c r="D134" s="3"/>
      <c r="E134" s="3"/>
      <c r="F134" s="3"/>
      <c r="G134" s="3"/>
      <c r="H134" s="3"/>
      <c r="I134" s="3"/>
      <c r="J134" s="3"/>
      <c r="K134" s="3"/>
      <c r="L134" s="3"/>
      <c r="M134" s="1"/>
    </row>
    <row r="135" spans="1:13" x14ac:dyDescent="0.25">
      <c r="A135" s="3" t="s">
        <v>203</v>
      </c>
      <c r="B135" s="3"/>
      <c r="C135" s="3"/>
      <c r="D135" s="3"/>
      <c r="E135" s="3"/>
      <c r="F135" s="3"/>
      <c r="G135" s="3"/>
      <c r="H135" s="3"/>
      <c r="I135" s="3"/>
      <c r="J135" s="3"/>
      <c r="K135" s="3"/>
      <c r="L135" s="3"/>
      <c r="M135" s="1"/>
    </row>
    <row r="136" spans="1:13" x14ac:dyDescent="0.25">
      <c r="A136" s="3" t="s">
        <v>204</v>
      </c>
      <c r="B136" s="3"/>
      <c r="C136" s="3"/>
      <c r="D136" s="3"/>
      <c r="E136" s="3"/>
      <c r="F136" s="3"/>
      <c r="G136" s="3"/>
      <c r="H136" s="3"/>
      <c r="I136" s="3"/>
      <c r="J136" s="3"/>
      <c r="K136" s="3"/>
      <c r="L136" s="3"/>
      <c r="M136" s="1"/>
    </row>
    <row r="137" spans="1:13" x14ac:dyDescent="0.25">
      <c r="A137" s="3" t="s">
        <v>205</v>
      </c>
      <c r="B137" s="3"/>
      <c r="C137" s="3"/>
      <c r="D137" s="3"/>
      <c r="E137" s="3"/>
      <c r="F137" s="3"/>
      <c r="G137" s="3"/>
      <c r="H137" s="3"/>
      <c r="I137" s="3"/>
      <c r="J137" s="3"/>
      <c r="K137" s="3"/>
      <c r="L137" s="3"/>
      <c r="M137" s="1"/>
    </row>
    <row r="138" spans="1:13" x14ac:dyDescent="0.25">
      <c r="A138" s="3" t="s">
        <v>206</v>
      </c>
      <c r="B138" s="3"/>
      <c r="C138" s="3"/>
      <c r="D138" s="3"/>
      <c r="E138" s="3"/>
      <c r="F138" s="3"/>
      <c r="G138" s="3"/>
      <c r="H138" s="3"/>
      <c r="I138" s="3"/>
      <c r="J138" s="3"/>
      <c r="K138" s="3"/>
      <c r="L138" s="3"/>
      <c r="M138" s="1"/>
    </row>
    <row r="139" spans="1:13" x14ac:dyDescent="0.25">
      <c r="A139" s="3" t="s">
        <v>207</v>
      </c>
      <c r="B139" s="3"/>
      <c r="C139" s="3"/>
      <c r="D139" s="3"/>
      <c r="E139" s="3"/>
      <c r="F139" s="3"/>
      <c r="G139" s="3"/>
      <c r="H139" s="3"/>
      <c r="I139" s="3"/>
      <c r="J139" s="3"/>
      <c r="K139" s="3"/>
      <c r="L139" s="3"/>
      <c r="M139" s="1"/>
    </row>
    <row r="140" spans="1:13" x14ac:dyDescent="0.25">
      <c r="A140" s="3" t="s">
        <v>208</v>
      </c>
      <c r="B140" s="3"/>
      <c r="C140" s="3"/>
      <c r="D140" s="3"/>
      <c r="E140" s="3"/>
      <c r="F140" s="3"/>
      <c r="G140" s="3"/>
      <c r="H140" s="3"/>
      <c r="I140" s="3"/>
      <c r="J140" s="3"/>
      <c r="K140" s="3"/>
      <c r="L140" s="3"/>
      <c r="M140" s="1"/>
    </row>
    <row r="141" spans="1:13" x14ac:dyDescent="0.25">
      <c r="A141" s="3" t="s">
        <v>209</v>
      </c>
      <c r="B141" s="3"/>
      <c r="C141" s="3"/>
      <c r="D141" s="3"/>
      <c r="E141" s="3"/>
      <c r="F141" s="3"/>
      <c r="G141" s="3"/>
      <c r="H141" s="3"/>
      <c r="I141" s="3"/>
      <c r="J141" s="3"/>
      <c r="K141" s="3"/>
      <c r="L141" s="3"/>
      <c r="M141" s="1"/>
    </row>
    <row r="142" spans="1:13" x14ac:dyDescent="0.25">
      <c r="A142" s="3" t="s">
        <v>210</v>
      </c>
      <c r="B142" s="3"/>
      <c r="C142" s="3"/>
      <c r="D142" s="3"/>
      <c r="E142" s="3"/>
      <c r="F142" s="3"/>
      <c r="G142" s="3"/>
      <c r="H142" s="3"/>
      <c r="I142" s="3"/>
      <c r="J142" s="3"/>
      <c r="K142" s="3"/>
      <c r="L142" s="3"/>
      <c r="M142" s="1"/>
    </row>
    <row r="143" spans="1:13" x14ac:dyDescent="0.25">
      <c r="A143" s="3" t="s">
        <v>211</v>
      </c>
      <c r="B143" s="3"/>
      <c r="C143" s="3"/>
      <c r="D143" s="3"/>
      <c r="E143" s="3"/>
      <c r="F143" s="3"/>
      <c r="G143" s="3"/>
      <c r="H143" s="3"/>
      <c r="I143" s="3"/>
      <c r="J143" s="3"/>
      <c r="K143" s="3"/>
      <c r="L143" s="3"/>
      <c r="M143" s="1"/>
    </row>
    <row r="144" spans="1:13" x14ac:dyDescent="0.25">
      <c r="A144" s="3" t="s">
        <v>212</v>
      </c>
      <c r="B144" s="3"/>
      <c r="C144" s="3"/>
      <c r="D144" s="3"/>
      <c r="E144" s="3"/>
      <c r="F144" s="3"/>
      <c r="G144" s="3"/>
      <c r="H144" s="3"/>
      <c r="I144" s="3"/>
      <c r="J144" s="3"/>
      <c r="K144" s="3"/>
      <c r="L144" s="3"/>
      <c r="M144" s="1"/>
    </row>
    <row r="145" spans="1:13" x14ac:dyDescent="0.25">
      <c r="A145" s="3" t="s">
        <v>213</v>
      </c>
      <c r="B145" s="3"/>
      <c r="C145" s="3"/>
      <c r="D145" s="3"/>
      <c r="E145" s="3"/>
      <c r="F145" s="3"/>
      <c r="G145" s="3"/>
      <c r="H145" s="3"/>
      <c r="I145" s="3"/>
      <c r="J145" s="3"/>
      <c r="K145" s="3"/>
      <c r="L145" s="3"/>
      <c r="M145" s="1"/>
    </row>
    <row r="146" spans="1:13" x14ac:dyDescent="0.25">
      <c r="A146" s="3" t="s">
        <v>214</v>
      </c>
      <c r="B146" s="3"/>
      <c r="C146" s="3"/>
      <c r="D146" s="3"/>
      <c r="E146" s="3"/>
      <c r="F146" s="3"/>
      <c r="G146" s="3"/>
      <c r="H146" s="3"/>
      <c r="I146" s="3"/>
      <c r="J146" s="3"/>
      <c r="K146" s="3"/>
      <c r="L146" s="3"/>
      <c r="M146" s="1"/>
    </row>
    <row r="147" spans="1:13" x14ac:dyDescent="0.25">
      <c r="A147" s="3" t="s">
        <v>215</v>
      </c>
      <c r="B147" s="3"/>
      <c r="C147" s="3"/>
      <c r="D147" s="3"/>
      <c r="E147" s="3"/>
      <c r="F147" s="3"/>
      <c r="G147" s="3"/>
      <c r="H147" s="3"/>
      <c r="I147" s="3"/>
      <c r="J147" s="3"/>
      <c r="K147" s="3"/>
      <c r="L147" s="3"/>
      <c r="M147" s="1"/>
    </row>
    <row r="148" spans="1:13" x14ac:dyDescent="0.25">
      <c r="A148" s="3" t="s">
        <v>216</v>
      </c>
      <c r="B148" s="3"/>
      <c r="C148" s="3"/>
      <c r="D148" s="3"/>
      <c r="E148" s="3"/>
      <c r="F148" s="3"/>
      <c r="G148" s="3"/>
      <c r="H148" s="3"/>
      <c r="I148" s="3"/>
      <c r="J148" s="3"/>
      <c r="K148" s="3"/>
      <c r="L148" s="3"/>
      <c r="M148" s="1"/>
    </row>
    <row r="149" spans="1:13" x14ac:dyDescent="0.25">
      <c r="A149" s="3" t="s">
        <v>217</v>
      </c>
      <c r="B149" s="3"/>
      <c r="C149" s="3"/>
      <c r="D149" s="3"/>
      <c r="E149" s="3"/>
      <c r="F149" s="3"/>
      <c r="G149" s="3"/>
      <c r="H149" s="3"/>
      <c r="I149" s="3"/>
      <c r="J149" s="3"/>
      <c r="K149" s="3"/>
      <c r="L149" s="3"/>
      <c r="M149" s="1"/>
    </row>
    <row r="150" spans="1:13" x14ac:dyDescent="0.25">
      <c r="A150" s="3" t="s">
        <v>218</v>
      </c>
      <c r="B150" s="3"/>
      <c r="C150" s="3"/>
      <c r="D150" s="3"/>
      <c r="E150" s="3"/>
      <c r="F150" s="3"/>
      <c r="G150" s="3"/>
      <c r="H150" s="3"/>
      <c r="I150" s="3"/>
      <c r="J150" s="3"/>
      <c r="K150" s="3"/>
      <c r="L150" s="3"/>
      <c r="M150" s="1"/>
    </row>
    <row r="151" spans="1:13" x14ac:dyDescent="0.25">
      <c r="A151" s="3" t="s">
        <v>219</v>
      </c>
      <c r="B151" s="3"/>
      <c r="C151" s="3"/>
      <c r="D151" s="3"/>
      <c r="E151" s="3"/>
      <c r="F151" s="3"/>
      <c r="G151" s="3"/>
      <c r="H151" s="3"/>
      <c r="I151" s="3"/>
      <c r="J151" s="3"/>
      <c r="K151" s="3"/>
      <c r="L151" s="3"/>
      <c r="M151" s="1"/>
    </row>
    <row r="152" spans="1:13" x14ac:dyDescent="0.25">
      <c r="A152" s="3" t="s">
        <v>220</v>
      </c>
      <c r="B152" s="3"/>
      <c r="C152" s="3"/>
      <c r="D152" s="3"/>
      <c r="E152" s="3"/>
      <c r="F152" s="3"/>
      <c r="G152" s="3"/>
      <c r="H152" s="3"/>
      <c r="I152" s="3"/>
      <c r="J152" s="3"/>
      <c r="K152" s="3"/>
      <c r="L152" s="3"/>
      <c r="M152" s="1"/>
    </row>
    <row r="153" spans="1:13" x14ac:dyDescent="0.25">
      <c r="A153" s="3" t="s">
        <v>221</v>
      </c>
      <c r="B153" s="3"/>
      <c r="C153" s="3"/>
      <c r="D153" s="3"/>
      <c r="E153" s="3"/>
      <c r="F153" s="3"/>
      <c r="G153" s="3"/>
      <c r="H153" s="3"/>
      <c r="I153" s="3"/>
      <c r="J153" s="3"/>
      <c r="K153" s="3"/>
      <c r="L153" s="3"/>
      <c r="M153" s="1"/>
    </row>
    <row r="154" spans="1:13" x14ac:dyDescent="0.25">
      <c r="A154" s="3" t="s">
        <v>222</v>
      </c>
      <c r="B154" s="3"/>
      <c r="C154" s="3"/>
      <c r="D154" s="3"/>
      <c r="E154" s="3"/>
      <c r="F154" s="3"/>
      <c r="G154" s="3"/>
      <c r="H154" s="3"/>
      <c r="I154" s="3"/>
      <c r="J154" s="3"/>
      <c r="K154" s="3"/>
      <c r="L154" s="3"/>
      <c r="M154" s="1"/>
    </row>
    <row r="155" spans="1:13" x14ac:dyDescent="0.25">
      <c r="A155" s="19"/>
    </row>
    <row r="156" spans="1:13" x14ac:dyDescent="0.25">
      <c r="A156" s="23" t="s">
        <v>223</v>
      </c>
    </row>
    <row r="157" spans="1:13" x14ac:dyDescent="0.25">
      <c r="A157" s="19"/>
    </row>
    <row r="158" spans="1:13" x14ac:dyDescent="0.25">
      <c r="A158" s="19"/>
    </row>
    <row r="159" spans="1:13" x14ac:dyDescent="0.25">
      <c r="A159" s="19"/>
    </row>
    <row r="160" spans="1:13" x14ac:dyDescent="0.25">
      <c r="A160" s="19"/>
    </row>
    <row r="161" spans="1:1" x14ac:dyDescent="0.25">
      <c r="A161" s="19"/>
    </row>
    <row r="162" spans="1:1" x14ac:dyDescent="0.25">
      <c r="A162" s="19"/>
    </row>
    <row r="163" spans="1:1" x14ac:dyDescent="0.25">
      <c r="A163" s="19"/>
    </row>
    <row r="164" spans="1:1" x14ac:dyDescent="0.25">
      <c r="A164" s="19"/>
    </row>
    <row r="165" spans="1:1" x14ac:dyDescent="0.25">
      <c r="A165" s="19"/>
    </row>
    <row r="166" spans="1:1" x14ac:dyDescent="0.25">
      <c r="A166" s="19"/>
    </row>
    <row r="167" spans="1:1" x14ac:dyDescent="0.25">
      <c r="A167" s="19"/>
    </row>
    <row r="168" spans="1:1" x14ac:dyDescent="0.25">
      <c r="A168" s="19"/>
    </row>
    <row r="169" spans="1:1" x14ac:dyDescent="0.25">
      <c r="A169" s="19"/>
    </row>
    <row r="170" spans="1:1" x14ac:dyDescent="0.25">
      <c r="A170" s="19"/>
    </row>
    <row r="171" spans="1:1" x14ac:dyDescent="0.25">
      <c r="A171" s="19"/>
    </row>
    <row r="172" spans="1:1" x14ac:dyDescent="0.25">
      <c r="A172" s="19"/>
    </row>
    <row r="173" spans="1:1" x14ac:dyDescent="0.25">
      <c r="A173" s="19"/>
    </row>
    <row r="174" spans="1:1" x14ac:dyDescent="0.25">
      <c r="A174" s="19"/>
    </row>
    <row r="175" spans="1:1" x14ac:dyDescent="0.25">
      <c r="A175" s="19"/>
    </row>
    <row r="176" spans="1:1" x14ac:dyDescent="0.25">
      <c r="A176" s="19"/>
    </row>
    <row r="177" spans="1:1" x14ac:dyDescent="0.25">
      <c r="A177" s="19"/>
    </row>
    <row r="178" spans="1:1" x14ac:dyDescent="0.25">
      <c r="A178" s="19"/>
    </row>
    <row r="179" spans="1:1" x14ac:dyDescent="0.25">
      <c r="A179" s="19"/>
    </row>
    <row r="180" spans="1:1" x14ac:dyDescent="0.25">
      <c r="A180" s="19"/>
    </row>
    <row r="181" spans="1:1" x14ac:dyDescent="0.25">
      <c r="A181" s="19"/>
    </row>
    <row r="182" spans="1:1" x14ac:dyDescent="0.25">
      <c r="A182" s="19"/>
    </row>
    <row r="183" spans="1:1" x14ac:dyDescent="0.25">
      <c r="A183" s="19"/>
    </row>
    <row r="184" spans="1:1" x14ac:dyDescent="0.25">
      <c r="A184" s="19"/>
    </row>
    <row r="185" spans="1:1" x14ac:dyDescent="0.25">
      <c r="A185" s="19"/>
    </row>
    <row r="186" spans="1:1" x14ac:dyDescent="0.25">
      <c r="A186" s="19"/>
    </row>
    <row r="187" spans="1:1" x14ac:dyDescent="0.25">
      <c r="A187" s="19"/>
    </row>
    <row r="188" spans="1:1" x14ac:dyDescent="0.25">
      <c r="A188" s="19"/>
    </row>
    <row r="189" spans="1:1" x14ac:dyDescent="0.25">
      <c r="A189" s="19"/>
    </row>
    <row r="190" spans="1:1" x14ac:dyDescent="0.25">
      <c r="A190" s="19"/>
    </row>
    <row r="191" spans="1:1" x14ac:dyDescent="0.25">
      <c r="A191" s="19"/>
    </row>
    <row r="192" spans="1:1" x14ac:dyDescent="0.25">
      <c r="A192" s="19"/>
    </row>
    <row r="193" spans="1:1" x14ac:dyDescent="0.25">
      <c r="A193" s="19"/>
    </row>
    <row r="194" spans="1:1" x14ac:dyDescent="0.25">
      <c r="A194" s="19"/>
    </row>
    <row r="195" spans="1:1" x14ac:dyDescent="0.25">
      <c r="A195" s="19"/>
    </row>
    <row r="196" spans="1:1" x14ac:dyDescent="0.25">
      <c r="A196" s="19"/>
    </row>
    <row r="197" spans="1:1" x14ac:dyDescent="0.25">
      <c r="A197" s="19"/>
    </row>
    <row r="198" spans="1:1" x14ac:dyDescent="0.25">
      <c r="A198" s="19"/>
    </row>
    <row r="199" spans="1:1" x14ac:dyDescent="0.25">
      <c r="A199" s="19"/>
    </row>
    <row r="200" spans="1:1" x14ac:dyDescent="0.25">
      <c r="A200" s="19"/>
    </row>
    <row r="201" spans="1:1" x14ac:dyDescent="0.25">
      <c r="A201" s="19"/>
    </row>
    <row r="202" spans="1:1" x14ac:dyDescent="0.25">
      <c r="A202" s="19"/>
    </row>
    <row r="203" spans="1:1" x14ac:dyDescent="0.25">
      <c r="A203" s="19"/>
    </row>
    <row r="204" spans="1:1" x14ac:dyDescent="0.25">
      <c r="A204" s="19"/>
    </row>
    <row r="205" spans="1:1" x14ac:dyDescent="0.25">
      <c r="A205" s="19"/>
    </row>
    <row r="206" spans="1:1" x14ac:dyDescent="0.25">
      <c r="A206" s="19"/>
    </row>
    <row r="207" spans="1:1" x14ac:dyDescent="0.25">
      <c r="A207" s="19"/>
    </row>
    <row r="208" spans="1:1" x14ac:dyDescent="0.25">
      <c r="A208" s="19"/>
    </row>
    <row r="209" spans="1:1" x14ac:dyDescent="0.25">
      <c r="A209" s="19"/>
    </row>
    <row r="210" spans="1:1" x14ac:dyDescent="0.25">
      <c r="A210" s="19"/>
    </row>
    <row r="211" spans="1:1" x14ac:dyDescent="0.25">
      <c r="A211" s="19"/>
    </row>
    <row r="212" spans="1:1" x14ac:dyDescent="0.25">
      <c r="A212" s="19"/>
    </row>
    <row r="213" spans="1:1" x14ac:dyDescent="0.25">
      <c r="A213" s="19"/>
    </row>
    <row r="214" spans="1:1" x14ac:dyDescent="0.25">
      <c r="A214" s="19"/>
    </row>
    <row r="215" spans="1:1" x14ac:dyDescent="0.25">
      <c r="A215" s="19"/>
    </row>
    <row r="216" spans="1:1" x14ac:dyDescent="0.25">
      <c r="A216" s="19"/>
    </row>
    <row r="217" spans="1:1" x14ac:dyDescent="0.25">
      <c r="A217" s="19"/>
    </row>
    <row r="218" spans="1:1" x14ac:dyDescent="0.25">
      <c r="A218" s="19"/>
    </row>
    <row r="219" spans="1:1" x14ac:dyDescent="0.25">
      <c r="A219" s="19"/>
    </row>
    <row r="220" spans="1:1" x14ac:dyDescent="0.25">
      <c r="A220" s="19"/>
    </row>
    <row r="221" spans="1:1" x14ac:dyDescent="0.25">
      <c r="A221" s="19"/>
    </row>
    <row r="222" spans="1:1" x14ac:dyDescent="0.25">
      <c r="A222" s="19"/>
    </row>
    <row r="223" spans="1:1" x14ac:dyDescent="0.25">
      <c r="A223" s="19"/>
    </row>
    <row r="224" spans="1:1" x14ac:dyDescent="0.25">
      <c r="A224" s="19"/>
    </row>
    <row r="225" spans="1:1" x14ac:dyDescent="0.25">
      <c r="A225" s="19"/>
    </row>
    <row r="226" spans="1:1" x14ac:dyDescent="0.25">
      <c r="A226" s="19"/>
    </row>
    <row r="227" spans="1:1" x14ac:dyDescent="0.25">
      <c r="A227" s="19"/>
    </row>
    <row r="228" spans="1:1" x14ac:dyDescent="0.25">
      <c r="A228" s="19"/>
    </row>
    <row r="229" spans="1:1" x14ac:dyDescent="0.25">
      <c r="A229" s="19"/>
    </row>
    <row r="230" spans="1:1" x14ac:dyDescent="0.25">
      <c r="A230" s="19"/>
    </row>
    <row r="231" spans="1:1" x14ac:dyDescent="0.25">
      <c r="A231" s="19"/>
    </row>
    <row r="232" spans="1:1" x14ac:dyDescent="0.25">
      <c r="A232" s="19"/>
    </row>
    <row r="233" spans="1:1" x14ac:dyDescent="0.25">
      <c r="A233" s="19"/>
    </row>
    <row r="234" spans="1:1" x14ac:dyDescent="0.25">
      <c r="A234" s="19"/>
    </row>
    <row r="235" spans="1:1" x14ac:dyDescent="0.25">
      <c r="A235" s="19"/>
    </row>
    <row r="236" spans="1:1" x14ac:dyDescent="0.25">
      <c r="A236" s="19"/>
    </row>
    <row r="237" spans="1:1" x14ac:dyDescent="0.25">
      <c r="A237" s="19"/>
    </row>
    <row r="238" spans="1:1" x14ac:dyDescent="0.25">
      <c r="A238" s="19"/>
    </row>
    <row r="239" spans="1:1" x14ac:dyDescent="0.25">
      <c r="A239" s="19"/>
    </row>
    <row r="240" spans="1:1" x14ac:dyDescent="0.25">
      <c r="A240" s="19"/>
    </row>
    <row r="241" spans="1:1" x14ac:dyDescent="0.25">
      <c r="A241" s="19"/>
    </row>
    <row r="242" spans="1:1" x14ac:dyDescent="0.25">
      <c r="A242" s="19"/>
    </row>
    <row r="243" spans="1:1" x14ac:dyDescent="0.25">
      <c r="A243" s="19"/>
    </row>
    <row r="244" spans="1:1" x14ac:dyDescent="0.25">
      <c r="A244" s="19"/>
    </row>
    <row r="245" spans="1:1" x14ac:dyDescent="0.25">
      <c r="A245" s="19"/>
    </row>
    <row r="246" spans="1:1" x14ac:dyDescent="0.25">
      <c r="A246" s="19"/>
    </row>
    <row r="247" spans="1:1" x14ac:dyDescent="0.25">
      <c r="A247" s="19"/>
    </row>
    <row r="248" spans="1:1" x14ac:dyDescent="0.25">
      <c r="A248" s="19"/>
    </row>
    <row r="249" spans="1:1" x14ac:dyDescent="0.25">
      <c r="A249" s="19"/>
    </row>
    <row r="250" spans="1:1" x14ac:dyDescent="0.25">
      <c r="A250" s="19"/>
    </row>
    <row r="251" spans="1:1" x14ac:dyDescent="0.25">
      <c r="A251" s="19"/>
    </row>
    <row r="252" spans="1:1" x14ac:dyDescent="0.25">
      <c r="A252" s="19"/>
    </row>
    <row r="253" spans="1:1" x14ac:dyDescent="0.25">
      <c r="A253" s="19"/>
    </row>
    <row r="254" spans="1:1" x14ac:dyDescent="0.25">
      <c r="A254" s="19"/>
    </row>
    <row r="255" spans="1:1" x14ac:dyDescent="0.25">
      <c r="A255" s="19"/>
    </row>
    <row r="256" spans="1:1" x14ac:dyDescent="0.25">
      <c r="A256" s="19"/>
    </row>
    <row r="257" spans="1:1" x14ac:dyDescent="0.25">
      <c r="A257" s="19"/>
    </row>
    <row r="258" spans="1:1" x14ac:dyDescent="0.25">
      <c r="A258" s="19"/>
    </row>
    <row r="259" spans="1:1" x14ac:dyDescent="0.25">
      <c r="A259" s="19"/>
    </row>
    <row r="260" spans="1:1" x14ac:dyDescent="0.25">
      <c r="A260" s="19"/>
    </row>
    <row r="261" spans="1:1" x14ac:dyDescent="0.25">
      <c r="A261" s="19"/>
    </row>
    <row r="262" spans="1:1" x14ac:dyDescent="0.25">
      <c r="A262" s="19"/>
    </row>
    <row r="263" spans="1:1" x14ac:dyDescent="0.25">
      <c r="A263" s="19"/>
    </row>
    <row r="264" spans="1:1" x14ac:dyDescent="0.25">
      <c r="A264" s="19"/>
    </row>
    <row r="265" spans="1:1" x14ac:dyDescent="0.25">
      <c r="A265" s="19"/>
    </row>
    <row r="266" spans="1:1" x14ac:dyDescent="0.25">
      <c r="A266" s="19"/>
    </row>
    <row r="267" spans="1:1" x14ac:dyDescent="0.25">
      <c r="A267" s="19"/>
    </row>
    <row r="268" spans="1:1" x14ac:dyDescent="0.25">
      <c r="A268" s="19"/>
    </row>
    <row r="269" spans="1:1" x14ac:dyDescent="0.25">
      <c r="A269" s="19"/>
    </row>
    <row r="270" spans="1:1" x14ac:dyDescent="0.25">
      <c r="A270" s="19"/>
    </row>
    <row r="271" spans="1:1" x14ac:dyDescent="0.25">
      <c r="A271" s="19"/>
    </row>
    <row r="272" spans="1:1" x14ac:dyDescent="0.25">
      <c r="A272" s="19"/>
    </row>
    <row r="273" spans="1:1" x14ac:dyDescent="0.25">
      <c r="A273" s="19"/>
    </row>
    <row r="274" spans="1:1" x14ac:dyDescent="0.25">
      <c r="A274" s="19"/>
    </row>
    <row r="275" spans="1:1" x14ac:dyDescent="0.25">
      <c r="A275" s="19"/>
    </row>
    <row r="276" spans="1:1" x14ac:dyDescent="0.25">
      <c r="A276" s="19"/>
    </row>
    <row r="277" spans="1:1" x14ac:dyDescent="0.25">
      <c r="A277" s="19"/>
    </row>
    <row r="278" spans="1:1" x14ac:dyDescent="0.25">
      <c r="A278" s="19"/>
    </row>
    <row r="279" spans="1:1" x14ac:dyDescent="0.25">
      <c r="A279" s="19"/>
    </row>
    <row r="280" spans="1:1" x14ac:dyDescent="0.25">
      <c r="A280" s="19"/>
    </row>
    <row r="281" spans="1:1" x14ac:dyDescent="0.25">
      <c r="A281" s="19"/>
    </row>
    <row r="282" spans="1:1" x14ac:dyDescent="0.25">
      <c r="A282" s="19"/>
    </row>
    <row r="283" spans="1:1" x14ac:dyDescent="0.25">
      <c r="A283" s="19"/>
    </row>
    <row r="284" spans="1:1" x14ac:dyDescent="0.25">
      <c r="A284" s="19"/>
    </row>
    <row r="285" spans="1:1" x14ac:dyDescent="0.25">
      <c r="A285" s="19"/>
    </row>
    <row r="286" spans="1:1" x14ac:dyDescent="0.25">
      <c r="A286" s="19"/>
    </row>
    <row r="287" spans="1:1" x14ac:dyDescent="0.25">
      <c r="A287" s="19"/>
    </row>
    <row r="288" spans="1:1" x14ac:dyDescent="0.25">
      <c r="A288" s="19"/>
    </row>
    <row r="289" spans="1:1" x14ac:dyDescent="0.25">
      <c r="A289" s="19"/>
    </row>
    <row r="290" spans="1:1" x14ac:dyDescent="0.25">
      <c r="A290" s="19"/>
    </row>
    <row r="291" spans="1:1" x14ac:dyDescent="0.25">
      <c r="A291" s="19"/>
    </row>
    <row r="292" spans="1:1" x14ac:dyDescent="0.25">
      <c r="A292" s="19"/>
    </row>
    <row r="293" spans="1:1" x14ac:dyDescent="0.25">
      <c r="A293" s="19"/>
    </row>
    <row r="294" spans="1:1" x14ac:dyDescent="0.25">
      <c r="A294" s="19"/>
    </row>
    <row r="295" spans="1:1" x14ac:dyDescent="0.25">
      <c r="A295" s="19"/>
    </row>
    <row r="296" spans="1:1" x14ac:dyDescent="0.25">
      <c r="A296" s="19"/>
    </row>
    <row r="297" spans="1:1" x14ac:dyDescent="0.25">
      <c r="A297" s="19"/>
    </row>
    <row r="298" spans="1:1" x14ac:dyDescent="0.25">
      <c r="A298" s="19"/>
    </row>
    <row r="299" spans="1:1" x14ac:dyDescent="0.25">
      <c r="A299" s="19"/>
    </row>
    <row r="300" spans="1:1" x14ac:dyDescent="0.25">
      <c r="A300" s="19"/>
    </row>
    <row r="301" spans="1:1" x14ac:dyDescent="0.25">
      <c r="A301" s="19"/>
    </row>
    <row r="302" spans="1:1" x14ac:dyDescent="0.25">
      <c r="A302" s="19"/>
    </row>
    <row r="303" spans="1:1" x14ac:dyDescent="0.25">
      <c r="A303" s="19"/>
    </row>
    <row r="304" spans="1:1" x14ac:dyDescent="0.25">
      <c r="A304" s="19"/>
    </row>
    <row r="305" spans="1:1" x14ac:dyDescent="0.25">
      <c r="A305" s="19"/>
    </row>
    <row r="306" spans="1:1" x14ac:dyDescent="0.25">
      <c r="A306" s="19"/>
    </row>
    <row r="307" spans="1:1" x14ac:dyDescent="0.25">
      <c r="A307" s="19"/>
    </row>
    <row r="308" spans="1:1" x14ac:dyDescent="0.25">
      <c r="A308" s="19"/>
    </row>
    <row r="309" spans="1:1" x14ac:dyDescent="0.25">
      <c r="A309" s="19"/>
    </row>
    <row r="310" spans="1:1" x14ac:dyDescent="0.25">
      <c r="A310" s="19"/>
    </row>
    <row r="311" spans="1:1" x14ac:dyDescent="0.25">
      <c r="A311" s="19"/>
    </row>
    <row r="312" spans="1:1" x14ac:dyDescent="0.25">
      <c r="A312" s="19"/>
    </row>
    <row r="313" spans="1:1" x14ac:dyDescent="0.25">
      <c r="A313" s="19"/>
    </row>
    <row r="314" spans="1:1" x14ac:dyDescent="0.25">
      <c r="A314" s="19"/>
    </row>
    <row r="315" spans="1:1" x14ac:dyDescent="0.25">
      <c r="A315" s="19"/>
    </row>
    <row r="316" spans="1:1" x14ac:dyDescent="0.25">
      <c r="A316" s="19"/>
    </row>
    <row r="317" spans="1:1" x14ac:dyDescent="0.25">
      <c r="A317" s="19"/>
    </row>
    <row r="318" spans="1:1" x14ac:dyDescent="0.25">
      <c r="A318" s="19"/>
    </row>
    <row r="319" spans="1:1" x14ac:dyDescent="0.25">
      <c r="A319" s="19"/>
    </row>
    <row r="320" spans="1:1" x14ac:dyDescent="0.25">
      <c r="A320" s="19"/>
    </row>
    <row r="321" spans="1:1" x14ac:dyDescent="0.25">
      <c r="A321" s="19"/>
    </row>
    <row r="322" spans="1:1" x14ac:dyDescent="0.25">
      <c r="A322" s="19"/>
    </row>
    <row r="323" spans="1:1" x14ac:dyDescent="0.25">
      <c r="A323" s="19"/>
    </row>
    <row r="324" spans="1:1" x14ac:dyDescent="0.25">
      <c r="A324" s="19"/>
    </row>
    <row r="325" spans="1:1" x14ac:dyDescent="0.25">
      <c r="A325" s="19"/>
    </row>
    <row r="326" spans="1:1" x14ac:dyDescent="0.25">
      <c r="A326" s="19"/>
    </row>
    <row r="327" spans="1:1" x14ac:dyDescent="0.25">
      <c r="A327" s="19"/>
    </row>
    <row r="328" spans="1:1" x14ac:dyDescent="0.25">
      <c r="A328" s="19"/>
    </row>
    <row r="329" spans="1:1" x14ac:dyDescent="0.25">
      <c r="A329" s="19"/>
    </row>
    <row r="330" spans="1:1" x14ac:dyDescent="0.25">
      <c r="A330" s="19"/>
    </row>
    <row r="331" spans="1:1" x14ac:dyDescent="0.25">
      <c r="A331" s="19"/>
    </row>
    <row r="332" spans="1:1" x14ac:dyDescent="0.25">
      <c r="A332" s="19"/>
    </row>
    <row r="333" spans="1:1" x14ac:dyDescent="0.25">
      <c r="A333" s="19"/>
    </row>
    <row r="334" spans="1:1" x14ac:dyDescent="0.25">
      <c r="A334" s="19"/>
    </row>
    <row r="335" spans="1:1" x14ac:dyDescent="0.25">
      <c r="A335" s="19"/>
    </row>
    <row r="336" spans="1:1" x14ac:dyDescent="0.25">
      <c r="A336" s="19"/>
    </row>
    <row r="337" spans="1:1" x14ac:dyDescent="0.25">
      <c r="A337" s="19"/>
    </row>
    <row r="338" spans="1:1" x14ac:dyDescent="0.25">
      <c r="A338" s="19"/>
    </row>
    <row r="339" spans="1:1" x14ac:dyDescent="0.25">
      <c r="A339" s="19"/>
    </row>
    <row r="340" spans="1:1" x14ac:dyDescent="0.25">
      <c r="A340" s="19"/>
    </row>
    <row r="341" spans="1:1" x14ac:dyDescent="0.25">
      <c r="A341" s="19"/>
    </row>
    <row r="342" spans="1:1" x14ac:dyDescent="0.25">
      <c r="A342" s="19"/>
    </row>
    <row r="343" spans="1:1" x14ac:dyDescent="0.25">
      <c r="A343" s="19"/>
    </row>
    <row r="344" spans="1:1" x14ac:dyDescent="0.25">
      <c r="A344" s="19"/>
    </row>
    <row r="345" spans="1:1" x14ac:dyDescent="0.25">
      <c r="A345" s="19"/>
    </row>
    <row r="346" spans="1:1" x14ac:dyDescent="0.25">
      <c r="A346" s="19"/>
    </row>
    <row r="347" spans="1:1" x14ac:dyDescent="0.25">
      <c r="A347" s="19"/>
    </row>
    <row r="348" spans="1:1" x14ac:dyDescent="0.25">
      <c r="A348" s="19"/>
    </row>
    <row r="349" spans="1:1" x14ac:dyDescent="0.25">
      <c r="A349" s="19"/>
    </row>
    <row r="350" spans="1:1" x14ac:dyDescent="0.25">
      <c r="A350" s="19"/>
    </row>
    <row r="351" spans="1:1" x14ac:dyDescent="0.25">
      <c r="A351" s="19"/>
    </row>
    <row r="352" spans="1:1" x14ac:dyDescent="0.25">
      <c r="A352" s="19"/>
    </row>
    <row r="353" spans="1:1" x14ac:dyDescent="0.25">
      <c r="A353" s="19"/>
    </row>
    <row r="354" spans="1:1" x14ac:dyDescent="0.25">
      <c r="A354" s="19"/>
    </row>
    <row r="355" spans="1:1" x14ac:dyDescent="0.25">
      <c r="A355" s="19"/>
    </row>
    <row r="356" spans="1:1" x14ac:dyDescent="0.25">
      <c r="A356" s="19"/>
    </row>
    <row r="357" spans="1:1" x14ac:dyDescent="0.25">
      <c r="A357" s="19"/>
    </row>
    <row r="358" spans="1:1" x14ac:dyDescent="0.25">
      <c r="A358" s="19"/>
    </row>
    <row r="359" spans="1:1" x14ac:dyDescent="0.25">
      <c r="A359" s="19"/>
    </row>
    <row r="360" spans="1:1" x14ac:dyDescent="0.25">
      <c r="A360" s="19"/>
    </row>
    <row r="361" spans="1:1" x14ac:dyDescent="0.25">
      <c r="A361" s="19"/>
    </row>
    <row r="362" spans="1:1" x14ac:dyDescent="0.25">
      <c r="A362" s="19"/>
    </row>
    <row r="363" spans="1:1" x14ac:dyDescent="0.25">
      <c r="A363" s="19"/>
    </row>
    <row r="364" spans="1:1" x14ac:dyDescent="0.25">
      <c r="A364" s="19"/>
    </row>
    <row r="365" spans="1:1" x14ac:dyDescent="0.25">
      <c r="A365" s="19"/>
    </row>
    <row r="366" spans="1:1" x14ac:dyDescent="0.25">
      <c r="A366" s="19"/>
    </row>
    <row r="367" spans="1:1" x14ac:dyDescent="0.25">
      <c r="A367" s="19"/>
    </row>
    <row r="368" spans="1:1" x14ac:dyDescent="0.25">
      <c r="A368" s="19"/>
    </row>
    <row r="369" spans="1:1" x14ac:dyDescent="0.25">
      <c r="A369" s="19"/>
    </row>
    <row r="370" spans="1:1" x14ac:dyDescent="0.25">
      <c r="A370" s="19"/>
    </row>
    <row r="371" spans="1:1" x14ac:dyDescent="0.25">
      <c r="A371" s="19"/>
    </row>
    <row r="372" spans="1:1" x14ac:dyDescent="0.25">
      <c r="A372" s="19"/>
    </row>
    <row r="373" spans="1:1" x14ac:dyDescent="0.25">
      <c r="A373" s="19"/>
    </row>
    <row r="374" spans="1:1" x14ac:dyDescent="0.25">
      <c r="A374" s="19"/>
    </row>
    <row r="375" spans="1:1" x14ac:dyDescent="0.25">
      <c r="A375" s="19"/>
    </row>
    <row r="376" spans="1:1" x14ac:dyDescent="0.25">
      <c r="A376" s="19"/>
    </row>
    <row r="377" spans="1:1" x14ac:dyDescent="0.25">
      <c r="A377" s="19"/>
    </row>
    <row r="378" spans="1:1" x14ac:dyDescent="0.25">
      <c r="A378" s="19"/>
    </row>
    <row r="379" spans="1:1" x14ac:dyDescent="0.25">
      <c r="A379" s="19"/>
    </row>
    <row r="380" spans="1:1" x14ac:dyDescent="0.25">
      <c r="A380" s="19"/>
    </row>
    <row r="381" spans="1:1" x14ac:dyDescent="0.25">
      <c r="A381" s="19"/>
    </row>
    <row r="382" spans="1:1" x14ac:dyDescent="0.25">
      <c r="A382" s="19"/>
    </row>
    <row r="383" spans="1:1" x14ac:dyDescent="0.25">
      <c r="A383" s="19"/>
    </row>
    <row r="384" spans="1:1" x14ac:dyDescent="0.25">
      <c r="A384" s="19"/>
    </row>
    <row r="385" spans="1:1" x14ac:dyDescent="0.25">
      <c r="A385" s="19"/>
    </row>
    <row r="386" spans="1:1" x14ac:dyDescent="0.25">
      <c r="A386" s="19"/>
    </row>
    <row r="387" spans="1:1" x14ac:dyDescent="0.25">
      <c r="A387" s="19"/>
    </row>
    <row r="388" spans="1:1" x14ac:dyDescent="0.25">
      <c r="A388" s="19"/>
    </row>
    <row r="389" spans="1:1" x14ac:dyDescent="0.25">
      <c r="A389" s="19"/>
    </row>
    <row r="390" spans="1:1" x14ac:dyDescent="0.25">
      <c r="A390" s="19"/>
    </row>
    <row r="391" spans="1:1" x14ac:dyDescent="0.25">
      <c r="A391" s="19"/>
    </row>
    <row r="392" spans="1:1" x14ac:dyDescent="0.25">
      <c r="A392" s="19"/>
    </row>
    <row r="393" spans="1:1" x14ac:dyDescent="0.25">
      <c r="A393" s="19"/>
    </row>
    <row r="394" spans="1:1" x14ac:dyDescent="0.25">
      <c r="A394" s="19"/>
    </row>
    <row r="395" spans="1:1" x14ac:dyDescent="0.25">
      <c r="A395" s="19"/>
    </row>
    <row r="396" spans="1:1" x14ac:dyDescent="0.25">
      <c r="A396" s="19"/>
    </row>
    <row r="397" spans="1:1" x14ac:dyDescent="0.25">
      <c r="A397" s="19"/>
    </row>
    <row r="398" spans="1:1" x14ac:dyDescent="0.25">
      <c r="A398" s="19"/>
    </row>
    <row r="399" spans="1:1" x14ac:dyDescent="0.25">
      <c r="A399" s="19"/>
    </row>
    <row r="400" spans="1:1" x14ac:dyDescent="0.25">
      <c r="A400" s="19"/>
    </row>
    <row r="401" spans="1:1" x14ac:dyDescent="0.25">
      <c r="A401" s="19"/>
    </row>
    <row r="402" spans="1:1" x14ac:dyDescent="0.25">
      <c r="A402" s="19"/>
    </row>
    <row r="403" spans="1:1" x14ac:dyDescent="0.25">
      <c r="A403" s="19"/>
    </row>
    <row r="404" spans="1:1" x14ac:dyDescent="0.25">
      <c r="A404" s="19"/>
    </row>
    <row r="405" spans="1:1" x14ac:dyDescent="0.25">
      <c r="A405" s="19"/>
    </row>
    <row r="406" spans="1:1" x14ac:dyDescent="0.25">
      <c r="A406" s="19"/>
    </row>
    <row r="407" spans="1:1" x14ac:dyDescent="0.25">
      <c r="A407" s="19"/>
    </row>
    <row r="408" spans="1:1" x14ac:dyDescent="0.25">
      <c r="A408" s="19"/>
    </row>
    <row r="409" spans="1:1" x14ac:dyDescent="0.25">
      <c r="A409" s="19"/>
    </row>
    <row r="410" spans="1:1" x14ac:dyDescent="0.25">
      <c r="A410" s="19"/>
    </row>
    <row r="411" spans="1:1" x14ac:dyDescent="0.25">
      <c r="A411" s="19"/>
    </row>
    <row r="412" spans="1:1" x14ac:dyDescent="0.25">
      <c r="A412" s="19"/>
    </row>
    <row r="413" spans="1:1" x14ac:dyDescent="0.25">
      <c r="A413" s="19"/>
    </row>
    <row r="414" spans="1:1" x14ac:dyDescent="0.25">
      <c r="A414" s="19"/>
    </row>
    <row r="415" spans="1:1" x14ac:dyDescent="0.25">
      <c r="A415" s="19"/>
    </row>
    <row r="416" spans="1:1" x14ac:dyDescent="0.25">
      <c r="A416" s="19"/>
    </row>
    <row r="417" spans="1:1" x14ac:dyDescent="0.25">
      <c r="A417" s="19"/>
    </row>
    <row r="418" spans="1:1" x14ac:dyDescent="0.25">
      <c r="A418" s="19"/>
    </row>
    <row r="419" spans="1:1" x14ac:dyDescent="0.25">
      <c r="A419" s="19"/>
    </row>
    <row r="420" spans="1:1" x14ac:dyDescent="0.25">
      <c r="A420" s="19"/>
    </row>
    <row r="421" spans="1:1" x14ac:dyDescent="0.25">
      <c r="A421" s="19"/>
    </row>
    <row r="422" spans="1:1" x14ac:dyDescent="0.25">
      <c r="A422" s="19"/>
    </row>
    <row r="423" spans="1:1" x14ac:dyDescent="0.25">
      <c r="A423" s="19"/>
    </row>
    <row r="424" spans="1:1" x14ac:dyDescent="0.25">
      <c r="A424" s="19"/>
    </row>
    <row r="425" spans="1:1" x14ac:dyDescent="0.25">
      <c r="A425" s="19"/>
    </row>
    <row r="426" spans="1:1" x14ac:dyDescent="0.25">
      <c r="A426" s="19"/>
    </row>
    <row r="427" spans="1:1" x14ac:dyDescent="0.25">
      <c r="A427" s="19"/>
    </row>
    <row r="428" spans="1:1" x14ac:dyDescent="0.25">
      <c r="A428" s="19"/>
    </row>
    <row r="429" spans="1:1" x14ac:dyDescent="0.25">
      <c r="A429" s="19"/>
    </row>
    <row r="430" spans="1:1" x14ac:dyDescent="0.25">
      <c r="A430" s="19"/>
    </row>
    <row r="431" spans="1:1" x14ac:dyDescent="0.25">
      <c r="A431" s="19"/>
    </row>
    <row r="432" spans="1:1" x14ac:dyDescent="0.25">
      <c r="A432" s="19"/>
    </row>
    <row r="433" spans="1:1" x14ac:dyDescent="0.25">
      <c r="A433" s="19"/>
    </row>
    <row r="434" spans="1:1" x14ac:dyDescent="0.25">
      <c r="A434" s="19"/>
    </row>
    <row r="435" spans="1:1" x14ac:dyDescent="0.25">
      <c r="A435" s="19"/>
    </row>
    <row r="436" spans="1:1" x14ac:dyDescent="0.25">
      <c r="A436" s="19"/>
    </row>
    <row r="437" spans="1:1" x14ac:dyDescent="0.25">
      <c r="A437" s="19"/>
    </row>
    <row r="438" spans="1:1" x14ac:dyDescent="0.25">
      <c r="A438" s="19"/>
    </row>
    <row r="439" spans="1:1" x14ac:dyDescent="0.25">
      <c r="A439" s="19"/>
    </row>
    <row r="440" spans="1:1" x14ac:dyDescent="0.25">
      <c r="A440" s="19"/>
    </row>
    <row r="441" spans="1:1" x14ac:dyDescent="0.25">
      <c r="A441" s="19"/>
    </row>
    <row r="442" spans="1:1" x14ac:dyDescent="0.25">
      <c r="A442" s="19"/>
    </row>
    <row r="443" spans="1:1" x14ac:dyDescent="0.25">
      <c r="A443" s="19"/>
    </row>
    <row r="444" spans="1:1" x14ac:dyDescent="0.25">
      <c r="A444" s="19"/>
    </row>
    <row r="445" spans="1:1" x14ac:dyDescent="0.25">
      <c r="A445" s="19"/>
    </row>
    <row r="446" spans="1:1" x14ac:dyDescent="0.25">
      <c r="A446" s="19"/>
    </row>
    <row r="447" spans="1:1" x14ac:dyDescent="0.25">
      <c r="A447" s="19"/>
    </row>
    <row r="448" spans="1:1" x14ac:dyDescent="0.25">
      <c r="A448" s="19"/>
    </row>
    <row r="449" spans="1:1" x14ac:dyDescent="0.25">
      <c r="A449" s="19"/>
    </row>
    <row r="450" spans="1:1" x14ac:dyDescent="0.25">
      <c r="A450" s="19"/>
    </row>
    <row r="451" spans="1:1" x14ac:dyDescent="0.25">
      <c r="A451" s="19"/>
    </row>
    <row r="452" spans="1:1" x14ac:dyDescent="0.25">
      <c r="A452" s="19"/>
    </row>
    <row r="453" spans="1:1" x14ac:dyDescent="0.25">
      <c r="A453" s="19"/>
    </row>
    <row r="454" spans="1:1" x14ac:dyDescent="0.25">
      <c r="A454" s="19"/>
    </row>
    <row r="455" spans="1:1" x14ac:dyDescent="0.25">
      <c r="A455" s="19"/>
    </row>
    <row r="456" spans="1:1" x14ac:dyDescent="0.25">
      <c r="A456" s="19"/>
    </row>
    <row r="457" spans="1:1" x14ac:dyDescent="0.25">
      <c r="A457" s="19"/>
    </row>
    <row r="458" spans="1:1" x14ac:dyDescent="0.25">
      <c r="A458" s="19"/>
    </row>
    <row r="459" spans="1:1" x14ac:dyDescent="0.25">
      <c r="A459" s="19"/>
    </row>
    <row r="460" spans="1:1" x14ac:dyDescent="0.25">
      <c r="A460" s="19"/>
    </row>
    <row r="461" spans="1:1" x14ac:dyDescent="0.25">
      <c r="A461" s="19"/>
    </row>
    <row r="462" spans="1:1" x14ac:dyDescent="0.25">
      <c r="A462" s="19"/>
    </row>
    <row r="463" spans="1:1" x14ac:dyDescent="0.25">
      <c r="A463" s="19"/>
    </row>
    <row r="464" spans="1:1" x14ac:dyDescent="0.25">
      <c r="A464" s="19"/>
    </row>
    <row r="465" spans="1:1" x14ac:dyDescent="0.25">
      <c r="A465" s="19"/>
    </row>
    <row r="466" spans="1:1" x14ac:dyDescent="0.25">
      <c r="A466" s="19"/>
    </row>
    <row r="467" spans="1:1" x14ac:dyDescent="0.25">
      <c r="A467" s="19"/>
    </row>
    <row r="468" spans="1:1" x14ac:dyDescent="0.25">
      <c r="A468" s="19"/>
    </row>
    <row r="469" spans="1:1" x14ac:dyDescent="0.25">
      <c r="A469" s="19"/>
    </row>
    <row r="470" spans="1:1" x14ac:dyDescent="0.25">
      <c r="A470" s="19"/>
    </row>
    <row r="471" spans="1:1" x14ac:dyDescent="0.25">
      <c r="A471" s="19"/>
    </row>
    <row r="472" spans="1:1" x14ac:dyDescent="0.25">
      <c r="A472" s="19"/>
    </row>
    <row r="473" spans="1:1" x14ac:dyDescent="0.25">
      <c r="A473" s="19"/>
    </row>
    <row r="474" spans="1:1" x14ac:dyDescent="0.25">
      <c r="A474" s="19"/>
    </row>
    <row r="475" spans="1:1" x14ac:dyDescent="0.25">
      <c r="A475" s="19"/>
    </row>
    <row r="476" spans="1:1" x14ac:dyDescent="0.25">
      <c r="A476" s="19"/>
    </row>
    <row r="477" spans="1:1" x14ac:dyDescent="0.25">
      <c r="A477" s="19"/>
    </row>
    <row r="478" spans="1:1" x14ac:dyDescent="0.25">
      <c r="A478" s="19"/>
    </row>
    <row r="479" spans="1:1" x14ac:dyDescent="0.25">
      <c r="A479" s="19"/>
    </row>
    <row r="480" spans="1:1" x14ac:dyDescent="0.25">
      <c r="A480" s="19"/>
    </row>
    <row r="481" spans="1:1" x14ac:dyDescent="0.25">
      <c r="A481" s="19"/>
    </row>
    <row r="482" spans="1:1" x14ac:dyDescent="0.25">
      <c r="A482" s="19"/>
    </row>
    <row r="483" spans="1:1" x14ac:dyDescent="0.25">
      <c r="A483" s="19"/>
    </row>
    <row r="484" spans="1:1" x14ac:dyDescent="0.25">
      <c r="A484" s="19"/>
    </row>
    <row r="485" spans="1:1" x14ac:dyDescent="0.25">
      <c r="A485" s="19"/>
    </row>
    <row r="486" spans="1:1" x14ac:dyDescent="0.25">
      <c r="A486" s="19"/>
    </row>
    <row r="487" spans="1:1" x14ac:dyDescent="0.25">
      <c r="A487" s="19"/>
    </row>
    <row r="488" spans="1:1" x14ac:dyDescent="0.25">
      <c r="A488" s="19"/>
    </row>
    <row r="489" spans="1:1" x14ac:dyDescent="0.25">
      <c r="A489" s="19"/>
    </row>
    <row r="490" spans="1:1" x14ac:dyDescent="0.25">
      <c r="A490" s="19"/>
    </row>
    <row r="491" spans="1:1" x14ac:dyDescent="0.25">
      <c r="A491" s="19"/>
    </row>
    <row r="492" spans="1:1" x14ac:dyDescent="0.25">
      <c r="A492" s="19"/>
    </row>
    <row r="493" spans="1:1" x14ac:dyDescent="0.25">
      <c r="A493" s="19"/>
    </row>
    <row r="494" spans="1:1" x14ac:dyDescent="0.25">
      <c r="A494" s="19"/>
    </row>
    <row r="495" spans="1:1" x14ac:dyDescent="0.25">
      <c r="A495" s="19"/>
    </row>
    <row r="496" spans="1:1" x14ac:dyDescent="0.25">
      <c r="A496" s="19"/>
    </row>
    <row r="497" spans="1:1" x14ac:dyDescent="0.25">
      <c r="A497" s="19"/>
    </row>
    <row r="498" spans="1:1" x14ac:dyDescent="0.25">
      <c r="A498" s="19"/>
    </row>
    <row r="499" spans="1:1" x14ac:dyDescent="0.25">
      <c r="A499" s="19"/>
    </row>
    <row r="500" spans="1:1" x14ac:dyDescent="0.25">
      <c r="A500" s="19"/>
    </row>
    <row r="501" spans="1:1" x14ac:dyDescent="0.25">
      <c r="A501" s="19"/>
    </row>
    <row r="502" spans="1:1" x14ac:dyDescent="0.25">
      <c r="A502" s="19"/>
    </row>
    <row r="503" spans="1:1" x14ac:dyDescent="0.25">
      <c r="A503" s="19"/>
    </row>
    <row r="504" spans="1:1" x14ac:dyDescent="0.25">
      <c r="A504" s="19"/>
    </row>
    <row r="505" spans="1:1" x14ac:dyDescent="0.25">
      <c r="A505" s="19"/>
    </row>
    <row r="506" spans="1:1" x14ac:dyDescent="0.25">
      <c r="A506" s="19"/>
    </row>
    <row r="507" spans="1:1" x14ac:dyDescent="0.25">
      <c r="A507" s="19"/>
    </row>
    <row r="508" spans="1:1" x14ac:dyDescent="0.25">
      <c r="A508" s="19"/>
    </row>
    <row r="509" spans="1:1" x14ac:dyDescent="0.25">
      <c r="A509" s="19"/>
    </row>
    <row r="510" spans="1:1" x14ac:dyDescent="0.25">
      <c r="A510" s="19"/>
    </row>
    <row r="511" spans="1:1" x14ac:dyDescent="0.25">
      <c r="A511" s="19"/>
    </row>
    <row r="512" spans="1:1" x14ac:dyDescent="0.25">
      <c r="A512" s="19"/>
    </row>
    <row r="513" spans="1:1" x14ac:dyDescent="0.25">
      <c r="A513" s="19"/>
    </row>
    <row r="514" spans="1:1" x14ac:dyDescent="0.25">
      <c r="A514" s="19"/>
    </row>
    <row r="515" spans="1:1" x14ac:dyDescent="0.25">
      <c r="A515" s="19"/>
    </row>
    <row r="516" spans="1:1" x14ac:dyDescent="0.25">
      <c r="A516" s="19"/>
    </row>
    <row r="517" spans="1:1" x14ac:dyDescent="0.25">
      <c r="A517" s="19"/>
    </row>
    <row r="518" spans="1:1" x14ac:dyDescent="0.25">
      <c r="A518" s="19"/>
    </row>
    <row r="519" spans="1:1" x14ac:dyDescent="0.25">
      <c r="A519" s="19"/>
    </row>
    <row r="520" spans="1:1" x14ac:dyDescent="0.25">
      <c r="A520" s="19"/>
    </row>
    <row r="521" spans="1:1" x14ac:dyDescent="0.25">
      <c r="A521" s="19"/>
    </row>
    <row r="522" spans="1:1" x14ac:dyDescent="0.25">
      <c r="A522" s="19"/>
    </row>
    <row r="523" spans="1:1" x14ac:dyDescent="0.25">
      <c r="A523" s="19"/>
    </row>
    <row r="524" spans="1:1" x14ac:dyDescent="0.25">
      <c r="A524" s="19"/>
    </row>
    <row r="525" spans="1:1" x14ac:dyDescent="0.25">
      <c r="A525" s="19"/>
    </row>
    <row r="526" spans="1:1" x14ac:dyDescent="0.25">
      <c r="A526" s="19"/>
    </row>
    <row r="527" spans="1:1" x14ac:dyDescent="0.25">
      <c r="A527" s="19"/>
    </row>
    <row r="528" spans="1:1" x14ac:dyDescent="0.25">
      <c r="A528" s="19"/>
    </row>
    <row r="529" spans="1:1" x14ac:dyDescent="0.25">
      <c r="A529" s="19"/>
    </row>
    <row r="530" spans="1:1" x14ac:dyDescent="0.25">
      <c r="A530" s="19"/>
    </row>
    <row r="531" spans="1:1" x14ac:dyDescent="0.25">
      <c r="A531" s="19"/>
    </row>
    <row r="532" spans="1:1" x14ac:dyDescent="0.25">
      <c r="A532" s="19"/>
    </row>
    <row r="533" spans="1:1" x14ac:dyDescent="0.25">
      <c r="A533" s="19"/>
    </row>
    <row r="534" spans="1:1" x14ac:dyDescent="0.25">
      <c r="A534" s="19"/>
    </row>
    <row r="535" spans="1:1" x14ac:dyDescent="0.25">
      <c r="A535" s="19"/>
    </row>
    <row r="536" spans="1:1" x14ac:dyDescent="0.25">
      <c r="A536" s="19"/>
    </row>
    <row r="537" spans="1:1" x14ac:dyDescent="0.25">
      <c r="A537" s="19"/>
    </row>
    <row r="538" spans="1:1" x14ac:dyDescent="0.25">
      <c r="A538" s="19"/>
    </row>
    <row r="539" spans="1:1" x14ac:dyDescent="0.25">
      <c r="A539" s="19"/>
    </row>
    <row r="540" spans="1:1" x14ac:dyDescent="0.25">
      <c r="A540" s="19"/>
    </row>
    <row r="541" spans="1:1" x14ac:dyDescent="0.25">
      <c r="A541" s="19"/>
    </row>
    <row r="542" spans="1:1" x14ac:dyDescent="0.25">
      <c r="A542" s="19"/>
    </row>
    <row r="543" spans="1:1" x14ac:dyDescent="0.25">
      <c r="A543" s="19"/>
    </row>
    <row r="544" spans="1:1" x14ac:dyDescent="0.25">
      <c r="A544" s="19"/>
    </row>
    <row r="545" spans="1:1" x14ac:dyDescent="0.25">
      <c r="A545" s="19"/>
    </row>
    <row r="546" spans="1:1" x14ac:dyDescent="0.25">
      <c r="A546" s="19"/>
    </row>
    <row r="547" spans="1:1" x14ac:dyDescent="0.25">
      <c r="A547" s="19"/>
    </row>
    <row r="548" spans="1:1" x14ac:dyDescent="0.25">
      <c r="A548" s="19"/>
    </row>
    <row r="549" spans="1:1" x14ac:dyDescent="0.25">
      <c r="A549" s="19"/>
    </row>
    <row r="550" spans="1:1" x14ac:dyDescent="0.25">
      <c r="A550" s="19"/>
    </row>
    <row r="551" spans="1:1" x14ac:dyDescent="0.25">
      <c r="A551" s="19"/>
    </row>
    <row r="552" spans="1:1" x14ac:dyDescent="0.25">
      <c r="A552" s="19"/>
    </row>
    <row r="553" spans="1:1" x14ac:dyDescent="0.25">
      <c r="A553" s="19"/>
    </row>
    <row r="554" spans="1:1" x14ac:dyDescent="0.25">
      <c r="A554" s="19"/>
    </row>
    <row r="555" spans="1:1" x14ac:dyDescent="0.25">
      <c r="A555" s="19"/>
    </row>
    <row r="556" spans="1:1" x14ac:dyDescent="0.25">
      <c r="A556" s="19"/>
    </row>
    <row r="557" spans="1:1" x14ac:dyDescent="0.25">
      <c r="A557" s="19"/>
    </row>
    <row r="558" spans="1:1" x14ac:dyDescent="0.25">
      <c r="A558" s="19"/>
    </row>
    <row r="559" spans="1:1" x14ac:dyDescent="0.25">
      <c r="A559" s="19"/>
    </row>
    <row r="560" spans="1:1" x14ac:dyDescent="0.25">
      <c r="A560" s="19"/>
    </row>
    <row r="561" spans="1:1" x14ac:dyDescent="0.25">
      <c r="A561" s="19"/>
    </row>
    <row r="562" spans="1:1" x14ac:dyDescent="0.25">
      <c r="A562" s="19"/>
    </row>
    <row r="563" spans="1:1" x14ac:dyDescent="0.25">
      <c r="A563" s="19"/>
    </row>
    <row r="564" spans="1:1" x14ac:dyDescent="0.25">
      <c r="A564" s="19"/>
    </row>
    <row r="565" spans="1:1" x14ac:dyDescent="0.25">
      <c r="A565" s="19"/>
    </row>
    <row r="566" spans="1:1" x14ac:dyDescent="0.25">
      <c r="A566" s="19"/>
    </row>
    <row r="567" spans="1:1" x14ac:dyDescent="0.25">
      <c r="A567" s="19"/>
    </row>
    <row r="568" spans="1:1" x14ac:dyDescent="0.25">
      <c r="A568" s="19"/>
    </row>
    <row r="569" spans="1:1" x14ac:dyDescent="0.25">
      <c r="A569" s="19"/>
    </row>
    <row r="570" spans="1:1" x14ac:dyDescent="0.25">
      <c r="A570" s="19"/>
    </row>
    <row r="571" spans="1:1" x14ac:dyDescent="0.25">
      <c r="A571" s="19"/>
    </row>
    <row r="572" spans="1:1" x14ac:dyDescent="0.25">
      <c r="A572" s="19"/>
    </row>
    <row r="573" spans="1:1" x14ac:dyDescent="0.25">
      <c r="A573" s="19"/>
    </row>
    <row r="574" spans="1:1" x14ac:dyDescent="0.25">
      <c r="A574" s="19"/>
    </row>
    <row r="575" spans="1:1" x14ac:dyDescent="0.25">
      <c r="A575" s="19"/>
    </row>
    <row r="576" spans="1:1" x14ac:dyDescent="0.25">
      <c r="A576" s="19"/>
    </row>
    <row r="577" spans="1:1" x14ac:dyDescent="0.25">
      <c r="A577" s="19"/>
    </row>
    <row r="578" spans="1:1" x14ac:dyDescent="0.25">
      <c r="A578" s="19"/>
    </row>
    <row r="579" spans="1:1" x14ac:dyDescent="0.25">
      <c r="A579" s="19"/>
    </row>
    <row r="580" spans="1:1" x14ac:dyDescent="0.25">
      <c r="A580" s="19"/>
    </row>
    <row r="581" spans="1:1" x14ac:dyDescent="0.25">
      <c r="A581" s="19"/>
    </row>
    <row r="582" spans="1:1" x14ac:dyDescent="0.25">
      <c r="A582" s="19"/>
    </row>
    <row r="583" spans="1:1" x14ac:dyDescent="0.25">
      <c r="A583" s="19"/>
    </row>
    <row r="584" spans="1:1" x14ac:dyDescent="0.25">
      <c r="A584" s="19"/>
    </row>
    <row r="585" spans="1:1" x14ac:dyDescent="0.25">
      <c r="A585" s="19"/>
    </row>
    <row r="586" spans="1:1" x14ac:dyDescent="0.25">
      <c r="A586" s="19"/>
    </row>
    <row r="587" spans="1:1" x14ac:dyDescent="0.25">
      <c r="A587" s="19"/>
    </row>
    <row r="588" spans="1:1" x14ac:dyDescent="0.25">
      <c r="A588" s="19"/>
    </row>
    <row r="589" spans="1:1" x14ac:dyDescent="0.25">
      <c r="A589" s="19"/>
    </row>
    <row r="590" spans="1:1" x14ac:dyDescent="0.25">
      <c r="A590" s="19"/>
    </row>
    <row r="591" spans="1:1" x14ac:dyDescent="0.25">
      <c r="A591" s="19"/>
    </row>
    <row r="592" spans="1:1" x14ac:dyDescent="0.25">
      <c r="A592" s="19"/>
    </row>
    <row r="593" spans="1:1" x14ac:dyDescent="0.25">
      <c r="A593" s="19"/>
    </row>
    <row r="594" spans="1:1" x14ac:dyDescent="0.25">
      <c r="A594" s="19"/>
    </row>
    <row r="595" spans="1:1" x14ac:dyDescent="0.25">
      <c r="A595" s="19"/>
    </row>
    <row r="596" spans="1:1" x14ac:dyDescent="0.25">
      <c r="A596" s="19"/>
    </row>
    <row r="597" spans="1:1" x14ac:dyDescent="0.25">
      <c r="A597" s="19"/>
    </row>
    <row r="598" spans="1:1" x14ac:dyDescent="0.25">
      <c r="A598" s="19"/>
    </row>
    <row r="599" spans="1:1" x14ac:dyDescent="0.25">
      <c r="A599" s="19"/>
    </row>
    <row r="600" spans="1:1" x14ac:dyDescent="0.25">
      <c r="A600" s="19"/>
    </row>
    <row r="601" spans="1:1" x14ac:dyDescent="0.25">
      <c r="A601" s="19"/>
    </row>
    <row r="602" spans="1:1" x14ac:dyDescent="0.25">
      <c r="A602" s="19"/>
    </row>
    <row r="603" spans="1:1" x14ac:dyDescent="0.25">
      <c r="A603" s="19"/>
    </row>
    <row r="604" spans="1:1" x14ac:dyDescent="0.25">
      <c r="A604" s="19"/>
    </row>
    <row r="605" spans="1:1" x14ac:dyDescent="0.25">
      <c r="A605" s="19"/>
    </row>
    <row r="606" spans="1:1" x14ac:dyDescent="0.25">
      <c r="A606" s="19"/>
    </row>
    <row r="607" spans="1:1" x14ac:dyDescent="0.25">
      <c r="A607" s="19"/>
    </row>
    <row r="608" spans="1:1" x14ac:dyDescent="0.25">
      <c r="A608" s="19"/>
    </row>
    <row r="609" spans="1:1" x14ac:dyDescent="0.25">
      <c r="A609" s="19"/>
    </row>
    <row r="610" spans="1:1" x14ac:dyDescent="0.25">
      <c r="A610" s="19"/>
    </row>
    <row r="611" spans="1:1" x14ac:dyDescent="0.25">
      <c r="A611" s="19"/>
    </row>
    <row r="612" spans="1:1" x14ac:dyDescent="0.25">
      <c r="A612" s="19"/>
    </row>
    <row r="613" spans="1:1" x14ac:dyDescent="0.25">
      <c r="A613" s="19"/>
    </row>
    <row r="614" spans="1:1" x14ac:dyDescent="0.25">
      <c r="A614" s="19"/>
    </row>
    <row r="615" spans="1:1" x14ac:dyDescent="0.25">
      <c r="A615" s="19"/>
    </row>
    <row r="616" spans="1:1" x14ac:dyDescent="0.25">
      <c r="A616" s="19"/>
    </row>
    <row r="617" spans="1:1" x14ac:dyDescent="0.25">
      <c r="A617" s="19"/>
    </row>
    <row r="618" spans="1:1" x14ac:dyDescent="0.25">
      <c r="A618" s="19"/>
    </row>
    <row r="619" spans="1:1" x14ac:dyDescent="0.25">
      <c r="A619" s="19"/>
    </row>
    <row r="620" spans="1:1" x14ac:dyDescent="0.25">
      <c r="A620" s="19"/>
    </row>
    <row r="621" spans="1:1" x14ac:dyDescent="0.25">
      <c r="A621" s="19"/>
    </row>
    <row r="622" spans="1:1" x14ac:dyDescent="0.25">
      <c r="A622" s="19"/>
    </row>
    <row r="623" spans="1:1" x14ac:dyDescent="0.25">
      <c r="A623" s="19"/>
    </row>
    <row r="624" spans="1:1" x14ac:dyDescent="0.25">
      <c r="A624" s="19"/>
    </row>
    <row r="625" spans="1:1" x14ac:dyDescent="0.25">
      <c r="A625" s="19"/>
    </row>
    <row r="626" spans="1:1" x14ac:dyDescent="0.25">
      <c r="A626" s="19"/>
    </row>
    <row r="627" spans="1:1" x14ac:dyDescent="0.25">
      <c r="A627" s="19"/>
    </row>
    <row r="628" spans="1:1" x14ac:dyDescent="0.25">
      <c r="A628" s="19"/>
    </row>
    <row r="629" spans="1:1" x14ac:dyDescent="0.25">
      <c r="A629" s="19"/>
    </row>
    <row r="630" spans="1:1" x14ac:dyDescent="0.25">
      <c r="A630" s="19"/>
    </row>
    <row r="631" spans="1:1" x14ac:dyDescent="0.25">
      <c r="A631" s="19"/>
    </row>
    <row r="632" spans="1:1" x14ac:dyDescent="0.25">
      <c r="A632" s="19"/>
    </row>
    <row r="633" spans="1:1" x14ac:dyDescent="0.25">
      <c r="A633" s="19"/>
    </row>
    <row r="634" spans="1:1" x14ac:dyDescent="0.25">
      <c r="A634" s="19"/>
    </row>
    <row r="635" spans="1:1" x14ac:dyDescent="0.25">
      <c r="A635" s="19"/>
    </row>
    <row r="636" spans="1:1" x14ac:dyDescent="0.25">
      <c r="A636" s="19"/>
    </row>
    <row r="637" spans="1:1" x14ac:dyDescent="0.25">
      <c r="A637" s="19"/>
    </row>
    <row r="638" spans="1:1" x14ac:dyDescent="0.25">
      <c r="A638" s="19"/>
    </row>
    <row r="639" spans="1:1" x14ac:dyDescent="0.25">
      <c r="A639" s="19"/>
    </row>
    <row r="640" spans="1:1" x14ac:dyDescent="0.25">
      <c r="A640" s="19"/>
    </row>
    <row r="641" spans="1:1" x14ac:dyDescent="0.25">
      <c r="A641" s="19"/>
    </row>
    <row r="642" spans="1:1" x14ac:dyDescent="0.25">
      <c r="A642" s="19"/>
    </row>
    <row r="643" spans="1:1" x14ac:dyDescent="0.25">
      <c r="A643" s="19"/>
    </row>
    <row r="644" spans="1:1" x14ac:dyDescent="0.25">
      <c r="A644" s="19"/>
    </row>
    <row r="645" spans="1:1" x14ac:dyDescent="0.25">
      <c r="A645" s="19"/>
    </row>
    <row r="646" spans="1:1" x14ac:dyDescent="0.25">
      <c r="A646" s="19"/>
    </row>
    <row r="647" spans="1:1" x14ac:dyDescent="0.25">
      <c r="A647" s="19"/>
    </row>
    <row r="648" spans="1:1" x14ac:dyDescent="0.25">
      <c r="A648" s="19"/>
    </row>
    <row r="649" spans="1:1" x14ac:dyDescent="0.25">
      <c r="A649" s="19"/>
    </row>
    <row r="650" spans="1:1" x14ac:dyDescent="0.25">
      <c r="A650" s="19"/>
    </row>
    <row r="651" spans="1:1" x14ac:dyDescent="0.25">
      <c r="A651" s="19"/>
    </row>
    <row r="652" spans="1:1" x14ac:dyDescent="0.25">
      <c r="A652" s="19"/>
    </row>
    <row r="653" spans="1:1" x14ac:dyDescent="0.25">
      <c r="A653" s="19"/>
    </row>
    <row r="654" spans="1:1" x14ac:dyDescent="0.25">
      <c r="A654" s="19"/>
    </row>
    <row r="655" spans="1:1" x14ac:dyDescent="0.25">
      <c r="A655" s="19"/>
    </row>
    <row r="656" spans="1:1" x14ac:dyDescent="0.25">
      <c r="A656" s="19"/>
    </row>
    <row r="657" spans="1:1" x14ac:dyDescent="0.25">
      <c r="A657" s="19"/>
    </row>
    <row r="658" spans="1:1" x14ac:dyDescent="0.25">
      <c r="A658" s="19"/>
    </row>
    <row r="659" spans="1:1" x14ac:dyDescent="0.25">
      <c r="A659" s="19"/>
    </row>
    <row r="660" spans="1:1" x14ac:dyDescent="0.25">
      <c r="A660" s="19"/>
    </row>
    <row r="661" spans="1:1" x14ac:dyDescent="0.25">
      <c r="A661" s="19"/>
    </row>
    <row r="662" spans="1:1" x14ac:dyDescent="0.25">
      <c r="A662" s="19"/>
    </row>
    <row r="663" spans="1:1" x14ac:dyDescent="0.25">
      <c r="A663" s="19"/>
    </row>
    <row r="664" spans="1:1" x14ac:dyDescent="0.25">
      <c r="A664" s="19"/>
    </row>
    <row r="665" spans="1:1" x14ac:dyDescent="0.25">
      <c r="A665" s="19"/>
    </row>
    <row r="666" spans="1:1" x14ac:dyDescent="0.25">
      <c r="A666" s="19"/>
    </row>
    <row r="667" spans="1:1" x14ac:dyDescent="0.25">
      <c r="A667" s="19"/>
    </row>
    <row r="668" spans="1:1" x14ac:dyDescent="0.25">
      <c r="A668" s="19"/>
    </row>
    <row r="669" spans="1:1" x14ac:dyDescent="0.25">
      <c r="A669" s="19"/>
    </row>
    <row r="670" spans="1:1" x14ac:dyDescent="0.25">
      <c r="A670" s="19"/>
    </row>
    <row r="671" spans="1:1" x14ac:dyDescent="0.25">
      <c r="A671" s="19"/>
    </row>
    <row r="672" spans="1:1" x14ac:dyDescent="0.25">
      <c r="A672" s="19"/>
    </row>
    <row r="673" spans="1:1" x14ac:dyDescent="0.25">
      <c r="A673" s="19"/>
    </row>
    <row r="674" spans="1:1" x14ac:dyDescent="0.25">
      <c r="A674" s="19"/>
    </row>
    <row r="675" spans="1:1" x14ac:dyDescent="0.25">
      <c r="A675" s="19"/>
    </row>
    <row r="676" spans="1:1" x14ac:dyDescent="0.25">
      <c r="A676" s="19"/>
    </row>
    <row r="677" spans="1:1" x14ac:dyDescent="0.25">
      <c r="A677" s="19"/>
    </row>
    <row r="678" spans="1:1" x14ac:dyDescent="0.25">
      <c r="A678" s="19"/>
    </row>
    <row r="679" spans="1:1" x14ac:dyDescent="0.25">
      <c r="A679" s="19"/>
    </row>
    <row r="680" spans="1:1" x14ac:dyDescent="0.25">
      <c r="A680" s="19"/>
    </row>
    <row r="681" spans="1:1" x14ac:dyDescent="0.25">
      <c r="A681" s="19"/>
    </row>
    <row r="682" spans="1:1" x14ac:dyDescent="0.25">
      <c r="A682" s="19"/>
    </row>
    <row r="683" spans="1:1" x14ac:dyDescent="0.25">
      <c r="A683" s="19"/>
    </row>
    <row r="684" spans="1:1" x14ac:dyDescent="0.25">
      <c r="A684" s="19"/>
    </row>
    <row r="685" spans="1:1" x14ac:dyDescent="0.25">
      <c r="A685" s="19"/>
    </row>
    <row r="686" spans="1:1" x14ac:dyDescent="0.25">
      <c r="A686" s="19"/>
    </row>
    <row r="687" spans="1:1" x14ac:dyDescent="0.25">
      <c r="A687" s="19"/>
    </row>
    <row r="688" spans="1:1" x14ac:dyDescent="0.25">
      <c r="A688" s="19"/>
    </row>
    <row r="689" spans="1:1" x14ac:dyDescent="0.25">
      <c r="A689" s="19"/>
    </row>
    <row r="690" spans="1:1" x14ac:dyDescent="0.25">
      <c r="A690" s="19"/>
    </row>
    <row r="691" spans="1:1" x14ac:dyDescent="0.25">
      <c r="A691" s="19"/>
    </row>
    <row r="692" spans="1:1" x14ac:dyDescent="0.25">
      <c r="A692" s="19"/>
    </row>
    <row r="693" spans="1:1" x14ac:dyDescent="0.25">
      <c r="A693" s="19"/>
    </row>
    <row r="694" spans="1:1" x14ac:dyDescent="0.25">
      <c r="A694" s="19"/>
    </row>
    <row r="695" spans="1:1" x14ac:dyDescent="0.25">
      <c r="A695" s="19"/>
    </row>
    <row r="696" spans="1:1" x14ac:dyDescent="0.25">
      <c r="A696" s="19"/>
    </row>
    <row r="697" spans="1:1" x14ac:dyDescent="0.25">
      <c r="A697" s="19"/>
    </row>
    <row r="698" spans="1:1" x14ac:dyDescent="0.25">
      <c r="A698" s="19"/>
    </row>
    <row r="699" spans="1:1" x14ac:dyDescent="0.25">
      <c r="A699" s="19"/>
    </row>
    <row r="700" spans="1:1" x14ac:dyDescent="0.25">
      <c r="A700" s="19"/>
    </row>
    <row r="701" spans="1:1" x14ac:dyDescent="0.25">
      <c r="A701" s="19"/>
    </row>
    <row r="702" spans="1:1" x14ac:dyDescent="0.25">
      <c r="A702" s="19"/>
    </row>
    <row r="703" spans="1:1" x14ac:dyDescent="0.25">
      <c r="A703" s="19"/>
    </row>
    <row r="704" spans="1:1" x14ac:dyDescent="0.25">
      <c r="A704" s="19"/>
    </row>
    <row r="705" spans="1:1" x14ac:dyDescent="0.25">
      <c r="A705" s="19"/>
    </row>
    <row r="706" spans="1:1" x14ac:dyDescent="0.25">
      <c r="A706" s="19"/>
    </row>
    <row r="707" spans="1:1" x14ac:dyDescent="0.25">
      <c r="A707" s="19"/>
    </row>
    <row r="708" spans="1:1" x14ac:dyDescent="0.25">
      <c r="A708" s="19"/>
    </row>
    <row r="709" spans="1:1" x14ac:dyDescent="0.25">
      <c r="A709" s="19"/>
    </row>
    <row r="710" spans="1:1" x14ac:dyDescent="0.25">
      <c r="A710" s="19"/>
    </row>
    <row r="711" spans="1:1" x14ac:dyDescent="0.25">
      <c r="A711" s="19"/>
    </row>
    <row r="712" spans="1:1" x14ac:dyDescent="0.25">
      <c r="A712" s="19"/>
    </row>
    <row r="713" spans="1:1" x14ac:dyDescent="0.25">
      <c r="A713" s="19"/>
    </row>
    <row r="714" spans="1:1" x14ac:dyDescent="0.25">
      <c r="A714" s="19"/>
    </row>
    <row r="715" spans="1:1" x14ac:dyDescent="0.25">
      <c r="A715" s="19"/>
    </row>
    <row r="716" spans="1:1" x14ac:dyDescent="0.25">
      <c r="A716" s="19"/>
    </row>
    <row r="717" spans="1:1" x14ac:dyDescent="0.25">
      <c r="A717" s="19"/>
    </row>
    <row r="718" spans="1:1" x14ac:dyDescent="0.25">
      <c r="A718" s="19"/>
    </row>
    <row r="719" spans="1:1" x14ac:dyDescent="0.25">
      <c r="A719" s="19"/>
    </row>
    <row r="720" spans="1:1" x14ac:dyDescent="0.25">
      <c r="A720" s="19"/>
    </row>
    <row r="721" spans="1:1" x14ac:dyDescent="0.25">
      <c r="A721" s="19"/>
    </row>
    <row r="722" spans="1:1" x14ac:dyDescent="0.25">
      <c r="A722" s="19"/>
    </row>
    <row r="723" spans="1:1" x14ac:dyDescent="0.25">
      <c r="A723" s="19"/>
    </row>
    <row r="724" spans="1:1" x14ac:dyDescent="0.25">
      <c r="A724" s="19"/>
    </row>
    <row r="725" spans="1:1" x14ac:dyDescent="0.25">
      <c r="A725" s="19"/>
    </row>
    <row r="726" spans="1:1" x14ac:dyDescent="0.25">
      <c r="A726" s="19"/>
    </row>
    <row r="727" spans="1:1" x14ac:dyDescent="0.25">
      <c r="A727" s="19"/>
    </row>
    <row r="728" spans="1:1" x14ac:dyDescent="0.25">
      <c r="A728" s="19"/>
    </row>
    <row r="729" spans="1:1" x14ac:dyDescent="0.25">
      <c r="A729" s="19"/>
    </row>
    <row r="730" spans="1:1" x14ac:dyDescent="0.25">
      <c r="A730" s="19"/>
    </row>
    <row r="731" spans="1:1" x14ac:dyDescent="0.25">
      <c r="A731" s="19"/>
    </row>
    <row r="732" spans="1:1" x14ac:dyDescent="0.25">
      <c r="A732" s="19"/>
    </row>
    <row r="733" spans="1:1" x14ac:dyDescent="0.25">
      <c r="A733" s="19"/>
    </row>
    <row r="734" spans="1:1" x14ac:dyDescent="0.25">
      <c r="A734" s="19"/>
    </row>
    <row r="735" spans="1:1" x14ac:dyDescent="0.25">
      <c r="A735" s="19"/>
    </row>
    <row r="736" spans="1:1" x14ac:dyDescent="0.25">
      <c r="A736" s="19"/>
    </row>
    <row r="737" spans="1:1" x14ac:dyDescent="0.25">
      <c r="A737" s="19"/>
    </row>
    <row r="738" spans="1:1" x14ac:dyDescent="0.25">
      <c r="A738" s="19"/>
    </row>
    <row r="739" spans="1:1" x14ac:dyDescent="0.25">
      <c r="A739" s="19"/>
    </row>
    <row r="740" spans="1:1" x14ac:dyDescent="0.25">
      <c r="A740" s="19"/>
    </row>
    <row r="741" spans="1:1" x14ac:dyDescent="0.25">
      <c r="A741" s="19"/>
    </row>
    <row r="742" spans="1:1" x14ac:dyDescent="0.25">
      <c r="A742" s="19"/>
    </row>
    <row r="743" spans="1:1" x14ac:dyDescent="0.25">
      <c r="A743" s="19"/>
    </row>
    <row r="744" spans="1:1" x14ac:dyDescent="0.25">
      <c r="A744" s="19"/>
    </row>
    <row r="745" spans="1:1" x14ac:dyDescent="0.25">
      <c r="A745" s="19"/>
    </row>
    <row r="746" spans="1:1" x14ac:dyDescent="0.25">
      <c r="A746" s="19"/>
    </row>
    <row r="747" spans="1:1" x14ac:dyDescent="0.25">
      <c r="A747" s="19"/>
    </row>
    <row r="748" spans="1:1" x14ac:dyDescent="0.25">
      <c r="A748" s="19"/>
    </row>
    <row r="749" spans="1:1" x14ac:dyDescent="0.25">
      <c r="A749" s="19"/>
    </row>
    <row r="750" spans="1:1" x14ac:dyDescent="0.25">
      <c r="A750" s="19"/>
    </row>
    <row r="751" spans="1:1" x14ac:dyDescent="0.25">
      <c r="A751" s="19"/>
    </row>
    <row r="752" spans="1:1" x14ac:dyDescent="0.25">
      <c r="A752" s="19"/>
    </row>
    <row r="753" spans="1:1" x14ac:dyDescent="0.25">
      <c r="A753" s="19"/>
    </row>
    <row r="754" spans="1:1" x14ac:dyDescent="0.25">
      <c r="A754" s="19"/>
    </row>
    <row r="755" spans="1:1" x14ac:dyDescent="0.25">
      <c r="A755" s="19"/>
    </row>
    <row r="756" spans="1:1" x14ac:dyDescent="0.25">
      <c r="A756" s="19"/>
    </row>
    <row r="757" spans="1:1" x14ac:dyDescent="0.25">
      <c r="A757" s="19"/>
    </row>
    <row r="758" spans="1:1" x14ac:dyDescent="0.25">
      <c r="A758" s="19"/>
    </row>
    <row r="759" spans="1:1" x14ac:dyDescent="0.25">
      <c r="A759" s="19"/>
    </row>
    <row r="760" spans="1:1" x14ac:dyDescent="0.25">
      <c r="A760" s="19"/>
    </row>
    <row r="761" spans="1:1" x14ac:dyDescent="0.25">
      <c r="A761" s="19"/>
    </row>
    <row r="762" spans="1:1" x14ac:dyDescent="0.25">
      <c r="A762" s="19"/>
    </row>
    <row r="763" spans="1:1" x14ac:dyDescent="0.25">
      <c r="A763" s="19"/>
    </row>
    <row r="764" spans="1:1" x14ac:dyDescent="0.25">
      <c r="A764" s="19"/>
    </row>
    <row r="765" spans="1:1" x14ac:dyDescent="0.25">
      <c r="A765" s="19"/>
    </row>
    <row r="766" spans="1:1" x14ac:dyDescent="0.25">
      <c r="A766" s="19"/>
    </row>
    <row r="767" spans="1:1" x14ac:dyDescent="0.25">
      <c r="A767" s="19"/>
    </row>
    <row r="768" spans="1:1" x14ac:dyDescent="0.25">
      <c r="A768" s="19"/>
    </row>
    <row r="769" spans="1:1" x14ac:dyDescent="0.25">
      <c r="A769" s="19"/>
    </row>
    <row r="770" spans="1:1" x14ac:dyDescent="0.25">
      <c r="A770" s="19"/>
    </row>
    <row r="771" spans="1:1" x14ac:dyDescent="0.25">
      <c r="A771" s="19"/>
    </row>
    <row r="772" spans="1:1" x14ac:dyDescent="0.25">
      <c r="A772" s="19"/>
    </row>
    <row r="773" spans="1:1" x14ac:dyDescent="0.25">
      <c r="A773" s="19"/>
    </row>
    <row r="774" spans="1:1" x14ac:dyDescent="0.25">
      <c r="A774" s="19"/>
    </row>
    <row r="775" spans="1:1" x14ac:dyDescent="0.25">
      <c r="A775" s="19"/>
    </row>
    <row r="776" spans="1:1" x14ac:dyDescent="0.25">
      <c r="A776" s="19"/>
    </row>
    <row r="777" spans="1:1" x14ac:dyDescent="0.25">
      <c r="A777" s="19"/>
    </row>
    <row r="778" spans="1:1" x14ac:dyDescent="0.25">
      <c r="A778" s="19"/>
    </row>
    <row r="779" spans="1:1" x14ac:dyDescent="0.25">
      <c r="A779" s="19"/>
    </row>
    <row r="780" spans="1:1" x14ac:dyDescent="0.25">
      <c r="A780" s="19"/>
    </row>
    <row r="781" spans="1:1" x14ac:dyDescent="0.25">
      <c r="A781" s="19"/>
    </row>
    <row r="782" spans="1:1" x14ac:dyDescent="0.25">
      <c r="A782" s="19"/>
    </row>
    <row r="783" spans="1:1" x14ac:dyDescent="0.25">
      <c r="A783" s="19"/>
    </row>
    <row r="784" spans="1:1" x14ac:dyDescent="0.25">
      <c r="A784" s="19"/>
    </row>
    <row r="785" spans="1:1" x14ac:dyDescent="0.25">
      <c r="A785" s="19"/>
    </row>
    <row r="786" spans="1:1" x14ac:dyDescent="0.25">
      <c r="A786" s="19"/>
    </row>
    <row r="787" spans="1:1" x14ac:dyDescent="0.25">
      <c r="A787" s="19"/>
    </row>
    <row r="788" spans="1:1" x14ac:dyDescent="0.25">
      <c r="A788" s="19"/>
    </row>
    <row r="789" spans="1:1" x14ac:dyDescent="0.25">
      <c r="A789" s="19"/>
    </row>
    <row r="790" spans="1:1" x14ac:dyDescent="0.25">
      <c r="A790" s="19"/>
    </row>
    <row r="791" spans="1:1" x14ac:dyDescent="0.25">
      <c r="A791" s="19"/>
    </row>
    <row r="792" spans="1:1" x14ac:dyDescent="0.25">
      <c r="A792" s="19"/>
    </row>
    <row r="793" spans="1:1" x14ac:dyDescent="0.25">
      <c r="A793" s="19"/>
    </row>
    <row r="794" spans="1:1" x14ac:dyDescent="0.25">
      <c r="A794" s="19"/>
    </row>
    <row r="795" spans="1:1" x14ac:dyDescent="0.25">
      <c r="A795" s="19"/>
    </row>
    <row r="796" spans="1:1" x14ac:dyDescent="0.25">
      <c r="A796" s="19"/>
    </row>
    <row r="797" spans="1:1" x14ac:dyDescent="0.25">
      <c r="A797" s="19"/>
    </row>
    <row r="798" spans="1:1" x14ac:dyDescent="0.25">
      <c r="A798" s="19"/>
    </row>
    <row r="799" spans="1:1" x14ac:dyDescent="0.25">
      <c r="A799" s="19"/>
    </row>
    <row r="800" spans="1:1" x14ac:dyDescent="0.25">
      <c r="A800" s="19"/>
    </row>
    <row r="801" spans="1:1" x14ac:dyDescent="0.25">
      <c r="A801" s="19"/>
    </row>
    <row r="802" spans="1:1" x14ac:dyDescent="0.25">
      <c r="A802" s="19"/>
    </row>
    <row r="803" spans="1:1" x14ac:dyDescent="0.25">
      <c r="A803" s="19"/>
    </row>
    <row r="804" spans="1:1" x14ac:dyDescent="0.25">
      <c r="A804" s="19"/>
    </row>
    <row r="805" spans="1:1" x14ac:dyDescent="0.25">
      <c r="A805" s="19"/>
    </row>
    <row r="806" spans="1:1" x14ac:dyDescent="0.25">
      <c r="A806" s="19"/>
    </row>
    <row r="807" spans="1:1" x14ac:dyDescent="0.25">
      <c r="A807" s="19"/>
    </row>
    <row r="808" spans="1:1" x14ac:dyDescent="0.25">
      <c r="A808" s="19"/>
    </row>
    <row r="809" spans="1:1" x14ac:dyDescent="0.25">
      <c r="A809" s="19"/>
    </row>
    <row r="810" spans="1:1" x14ac:dyDescent="0.25">
      <c r="A810" s="19"/>
    </row>
    <row r="811" spans="1:1" x14ac:dyDescent="0.25">
      <c r="A811" s="19"/>
    </row>
    <row r="812" spans="1:1" x14ac:dyDescent="0.25">
      <c r="A812" s="19"/>
    </row>
    <row r="813" spans="1:1" x14ac:dyDescent="0.25">
      <c r="A813" s="19"/>
    </row>
    <row r="814" spans="1:1" x14ac:dyDescent="0.25">
      <c r="A814" s="19"/>
    </row>
    <row r="815" spans="1:1" x14ac:dyDescent="0.25">
      <c r="A815" s="19"/>
    </row>
    <row r="816" spans="1:1" x14ac:dyDescent="0.25">
      <c r="A816" s="19"/>
    </row>
    <row r="817" spans="1:1" x14ac:dyDescent="0.25">
      <c r="A817" s="19"/>
    </row>
    <row r="818" spans="1:1" x14ac:dyDescent="0.25">
      <c r="A818" s="19"/>
    </row>
    <row r="819" spans="1:1" x14ac:dyDescent="0.25">
      <c r="A819" s="19"/>
    </row>
    <row r="820" spans="1:1" x14ac:dyDescent="0.25">
      <c r="A820" s="19"/>
    </row>
    <row r="821" spans="1:1" x14ac:dyDescent="0.25">
      <c r="A821" s="19"/>
    </row>
    <row r="822" spans="1:1" x14ac:dyDescent="0.25">
      <c r="A822" s="19"/>
    </row>
    <row r="823" spans="1:1" x14ac:dyDescent="0.25">
      <c r="A823" s="19"/>
    </row>
    <row r="824" spans="1:1" x14ac:dyDescent="0.25">
      <c r="A824" s="19"/>
    </row>
    <row r="825" spans="1:1" x14ac:dyDescent="0.25">
      <c r="A825" s="19"/>
    </row>
    <row r="826" spans="1:1" x14ac:dyDescent="0.25">
      <c r="A826" s="19"/>
    </row>
    <row r="827" spans="1:1" x14ac:dyDescent="0.25">
      <c r="A827" s="19"/>
    </row>
    <row r="828" spans="1:1" x14ac:dyDescent="0.25">
      <c r="A828" s="19"/>
    </row>
    <row r="829" spans="1:1" x14ac:dyDescent="0.25">
      <c r="A829" s="19"/>
    </row>
    <row r="830" spans="1:1" x14ac:dyDescent="0.25">
      <c r="A830" s="19"/>
    </row>
    <row r="831" spans="1:1" x14ac:dyDescent="0.25">
      <c r="A831" s="19"/>
    </row>
    <row r="832" spans="1:1" x14ac:dyDescent="0.25">
      <c r="A832" s="19"/>
    </row>
    <row r="833" spans="1:1" x14ac:dyDescent="0.25">
      <c r="A833" s="19"/>
    </row>
    <row r="834" spans="1:1" x14ac:dyDescent="0.25">
      <c r="A834" s="19"/>
    </row>
    <row r="835" spans="1:1" x14ac:dyDescent="0.25">
      <c r="A835" s="19"/>
    </row>
    <row r="836" spans="1:1" x14ac:dyDescent="0.25">
      <c r="A836" s="19"/>
    </row>
    <row r="837" spans="1:1" x14ac:dyDescent="0.25">
      <c r="A837" s="19"/>
    </row>
    <row r="838" spans="1:1" x14ac:dyDescent="0.25">
      <c r="A838" s="19"/>
    </row>
    <row r="839" spans="1:1" x14ac:dyDescent="0.25">
      <c r="A839" s="19"/>
    </row>
    <row r="840" spans="1:1" x14ac:dyDescent="0.25">
      <c r="A840" s="19"/>
    </row>
    <row r="841" spans="1:1" x14ac:dyDescent="0.25">
      <c r="A841" s="19"/>
    </row>
    <row r="842" spans="1:1" x14ac:dyDescent="0.25">
      <c r="A842" s="19"/>
    </row>
    <row r="843" spans="1:1" x14ac:dyDescent="0.25">
      <c r="A843" s="19"/>
    </row>
    <row r="844" spans="1:1" x14ac:dyDescent="0.25">
      <c r="A844" s="19"/>
    </row>
    <row r="845" spans="1:1" x14ac:dyDescent="0.25">
      <c r="A845" s="19"/>
    </row>
    <row r="846" spans="1:1" x14ac:dyDescent="0.25">
      <c r="A846" s="19"/>
    </row>
    <row r="847" spans="1:1" x14ac:dyDescent="0.25">
      <c r="A847" s="19"/>
    </row>
    <row r="848" spans="1:1" x14ac:dyDescent="0.25">
      <c r="A848" s="19"/>
    </row>
    <row r="849" spans="1:1" x14ac:dyDescent="0.25">
      <c r="A849" s="19"/>
    </row>
    <row r="850" spans="1:1" x14ac:dyDescent="0.25">
      <c r="A850" s="19"/>
    </row>
    <row r="851" spans="1:1" x14ac:dyDescent="0.25">
      <c r="A851" s="19"/>
    </row>
    <row r="852" spans="1:1" x14ac:dyDescent="0.25">
      <c r="A852" s="19"/>
    </row>
    <row r="853" spans="1:1" x14ac:dyDescent="0.25">
      <c r="A853" s="19"/>
    </row>
    <row r="854" spans="1:1" x14ac:dyDescent="0.25">
      <c r="A854" s="19"/>
    </row>
    <row r="855" spans="1:1" x14ac:dyDescent="0.25">
      <c r="A855" s="19"/>
    </row>
    <row r="856" spans="1:1" x14ac:dyDescent="0.25">
      <c r="A856" s="19"/>
    </row>
    <row r="857" spans="1:1" x14ac:dyDescent="0.25">
      <c r="A857" s="19"/>
    </row>
    <row r="858" spans="1:1" x14ac:dyDescent="0.25">
      <c r="A858" s="19"/>
    </row>
    <row r="859" spans="1:1" x14ac:dyDescent="0.25">
      <c r="A859" s="19"/>
    </row>
    <row r="860" spans="1:1" x14ac:dyDescent="0.25">
      <c r="A860" s="19"/>
    </row>
    <row r="861" spans="1:1" x14ac:dyDescent="0.25">
      <c r="A861" s="19"/>
    </row>
    <row r="862" spans="1:1" x14ac:dyDescent="0.25">
      <c r="A862" s="19"/>
    </row>
    <row r="863" spans="1:1" x14ac:dyDescent="0.25">
      <c r="A863" s="19"/>
    </row>
    <row r="864" spans="1:1" x14ac:dyDescent="0.25">
      <c r="A864" s="19"/>
    </row>
    <row r="865" spans="1:1" x14ac:dyDescent="0.25">
      <c r="A865" s="19"/>
    </row>
    <row r="866" spans="1:1" x14ac:dyDescent="0.25">
      <c r="A866" s="19"/>
    </row>
    <row r="867" spans="1:1" x14ac:dyDescent="0.25">
      <c r="A867" s="19"/>
    </row>
    <row r="868" spans="1:1" x14ac:dyDescent="0.25">
      <c r="A868" s="19"/>
    </row>
    <row r="869" spans="1:1" x14ac:dyDescent="0.25">
      <c r="A869" s="19"/>
    </row>
    <row r="870" spans="1:1" x14ac:dyDescent="0.25">
      <c r="A870" s="19"/>
    </row>
    <row r="871" spans="1:1" x14ac:dyDescent="0.25">
      <c r="A871" s="19"/>
    </row>
    <row r="872" spans="1:1" x14ac:dyDescent="0.25">
      <c r="A872" s="19"/>
    </row>
    <row r="873" spans="1:1" x14ac:dyDescent="0.25">
      <c r="A873" s="19"/>
    </row>
    <row r="874" spans="1:1" x14ac:dyDescent="0.25">
      <c r="A874" s="19"/>
    </row>
    <row r="875" spans="1:1" x14ac:dyDescent="0.25">
      <c r="A875" s="19"/>
    </row>
    <row r="876" spans="1:1" x14ac:dyDescent="0.25">
      <c r="A876" s="19"/>
    </row>
    <row r="877" spans="1:1" x14ac:dyDescent="0.25">
      <c r="A877" s="19"/>
    </row>
    <row r="878" spans="1:1" x14ac:dyDescent="0.25">
      <c r="A878" s="19"/>
    </row>
    <row r="879" spans="1:1" x14ac:dyDescent="0.25">
      <c r="A879" s="19"/>
    </row>
    <row r="880" spans="1:1" x14ac:dyDescent="0.25">
      <c r="A880" s="19"/>
    </row>
    <row r="881" spans="1:1" x14ac:dyDescent="0.25">
      <c r="A881" s="19"/>
    </row>
    <row r="882" spans="1:1" x14ac:dyDescent="0.25">
      <c r="A882" s="19"/>
    </row>
    <row r="883" spans="1:1" x14ac:dyDescent="0.25">
      <c r="A883" s="19"/>
    </row>
    <row r="884" spans="1:1" x14ac:dyDescent="0.25">
      <c r="A884" s="19"/>
    </row>
    <row r="885" spans="1:1" x14ac:dyDescent="0.25">
      <c r="A885" s="19"/>
    </row>
    <row r="886" spans="1:1" x14ac:dyDescent="0.25">
      <c r="A886" s="19"/>
    </row>
    <row r="887" spans="1:1" x14ac:dyDescent="0.25">
      <c r="A887" s="19"/>
    </row>
    <row r="888" spans="1:1" x14ac:dyDescent="0.25">
      <c r="A888" s="19"/>
    </row>
    <row r="889" spans="1:1" x14ac:dyDescent="0.25">
      <c r="A889" s="19"/>
    </row>
    <row r="890" spans="1:1" x14ac:dyDescent="0.25">
      <c r="A890" s="19"/>
    </row>
    <row r="891" spans="1:1" x14ac:dyDescent="0.25">
      <c r="A891" s="19"/>
    </row>
    <row r="892" spans="1:1" x14ac:dyDescent="0.25">
      <c r="A892" s="19"/>
    </row>
    <row r="893" spans="1:1" x14ac:dyDescent="0.25">
      <c r="A893" s="19"/>
    </row>
    <row r="894" spans="1:1" x14ac:dyDescent="0.25">
      <c r="A894" s="19"/>
    </row>
    <row r="895" spans="1:1" x14ac:dyDescent="0.25">
      <c r="A895" s="19"/>
    </row>
    <row r="896" spans="1:1" x14ac:dyDescent="0.25">
      <c r="A896" s="19"/>
    </row>
    <row r="897" spans="1:1" x14ac:dyDescent="0.25">
      <c r="A897" s="19"/>
    </row>
    <row r="898" spans="1:1" x14ac:dyDescent="0.25">
      <c r="A898" s="19"/>
    </row>
    <row r="899" spans="1:1" x14ac:dyDescent="0.25">
      <c r="A899" s="19"/>
    </row>
    <row r="900" spans="1:1" x14ac:dyDescent="0.25">
      <c r="A900" s="19"/>
    </row>
    <row r="901" spans="1:1" x14ac:dyDescent="0.25">
      <c r="A901" s="19"/>
    </row>
    <row r="902" spans="1:1" x14ac:dyDescent="0.25">
      <c r="A902" s="19"/>
    </row>
    <row r="903" spans="1:1" x14ac:dyDescent="0.25">
      <c r="A903" s="19"/>
    </row>
    <row r="904" spans="1:1" x14ac:dyDescent="0.25">
      <c r="A904" s="19"/>
    </row>
    <row r="905" spans="1:1" x14ac:dyDescent="0.25">
      <c r="A905" s="19"/>
    </row>
    <row r="906" spans="1:1" x14ac:dyDescent="0.25">
      <c r="A906" s="19"/>
    </row>
    <row r="907" spans="1:1" x14ac:dyDescent="0.25">
      <c r="A907" s="19"/>
    </row>
    <row r="908" spans="1:1" x14ac:dyDescent="0.25">
      <c r="A908" s="19"/>
    </row>
    <row r="909" spans="1:1" x14ac:dyDescent="0.25">
      <c r="A909" s="19"/>
    </row>
    <row r="910" spans="1:1" x14ac:dyDescent="0.25">
      <c r="A910" s="19"/>
    </row>
    <row r="911" spans="1:1" x14ac:dyDescent="0.25">
      <c r="A911" s="19"/>
    </row>
    <row r="912" spans="1:1" x14ac:dyDescent="0.25">
      <c r="A912" s="19"/>
    </row>
    <row r="913" spans="1:1" x14ac:dyDescent="0.25">
      <c r="A913" s="19"/>
    </row>
    <row r="914" spans="1:1" x14ac:dyDescent="0.25">
      <c r="A914" s="19"/>
    </row>
    <row r="915" spans="1:1" x14ac:dyDescent="0.25">
      <c r="A915" s="19"/>
    </row>
    <row r="916" spans="1:1" x14ac:dyDescent="0.25">
      <c r="A916" s="19"/>
    </row>
    <row r="917" spans="1:1" x14ac:dyDescent="0.25">
      <c r="A917" s="19"/>
    </row>
    <row r="918" spans="1:1" x14ac:dyDescent="0.25">
      <c r="A918" s="19"/>
    </row>
    <row r="919" spans="1:1" x14ac:dyDescent="0.25">
      <c r="A919" s="19"/>
    </row>
    <row r="920" spans="1:1" x14ac:dyDescent="0.25">
      <c r="A920" s="19"/>
    </row>
    <row r="921" spans="1:1" x14ac:dyDescent="0.25">
      <c r="A921" s="19"/>
    </row>
    <row r="922" spans="1:1" x14ac:dyDescent="0.25">
      <c r="A922" s="19"/>
    </row>
    <row r="923" spans="1:1" x14ac:dyDescent="0.25">
      <c r="A923" s="19"/>
    </row>
    <row r="924" spans="1:1" x14ac:dyDescent="0.25">
      <c r="A924" s="19"/>
    </row>
    <row r="925" spans="1:1" x14ac:dyDescent="0.25">
      <c r="A925" s="19"/>
    </row>
    <row r="926" spans="1:1" x14ac:dyDescent="0.25">
      <c r="A926" s="19"/>
    </row>
    <row r="927" spans="1:1" x14ac:dyDescent="0.25">
      <c r="A927" s="19"/>
    </row>
    <row r="928" spans="1:1" x14ac:dyDescent="0.25">
      <c r="A928" s="19"/>
    </row>
    <row r="929" spans="1:1" x14ac:dyDescent="0.25">
      <c r="A929" s="19"/>
    </row>
    <row r="930" spans="1:1" x14ac:dyDescent="0.25">
      <c r="A930" s="19"/>
    </row>
    <row r="931" spans="1:1" x14ac:dyDescent="0.25">
      <c r="A931" s="19"/>
    </row>
    <row r="932" spans="1:1" x14ac:dyDescent="0.25">
      <c r="A932" s="19"/>
    </row>
    <row r="933" spans="1:1" x14ac:dyDescent="0.25">
      <c r="A933" s="19"/>
    </row>
    <row r="934" spans="1:1" x14ac:dyDescent="0.25">
      <c r="A934" s="19"/>
    </row>
    <row r="935" spans="1:1" x14ac:dyDescent="0.25">
      <c r="A935" s="19"/>
    </row>
    <row r="936" spans="1:1" x14ac:dyDescent="0.25">
      <c r="A936" s="19"/>
    </row>
    <row r="937" spans="1:1" x14ac:dyDescent="0.25">
      <c r="A937" s="19"/>
    </row>
    <row r="938" spans="1:1" x14ac:dyDescent="0.25">
      <c r="A938" s="19"/>
    </row>
    <row r="939" spans="1:1" x14ac:dyDescent="0.25">
      <c r="A939" s="19"/>
    </row>
    <row r="940" spans="1:1" x14ac:dyDescent="0.25">
      <c r="A940" s="19"/>
    </row>
    <row r="941" spans="1:1" x14ac:dyDescent="0.25">
      <c r="A941" s="19"/>
    </row>
    <row r="942" spans="1:1" x14ac:dyDescent="0.25">
      <c r="A942" s="19"/>
    </row>
    <row r="943" spans="1:1" x14ac:dyDescent="0.25">
      <c r="A943" s="19"/>
    </row>
    <row r="944" spans="1:1" x14ac:dyDescent="0.25">
      <c r="A944" s="19"/>
    </row>
    <row r="945" spans="1:1" x14ac:dyDescent="0.25">
      <c r="A945" s="19"/>
    </row>
    <row r="946" spans="1:1" x14ac:dyDescent="0.25">
      <c r="A946" s="19"/>
    </row>
    <row r="947" spans="1:1" x14ac:dyDescent="0.25">
      <c r="A947" s="19"/>
    </row>
    <row r="948" spans="1:1" x14ac:dyDescent="0.25">
      <c r="A948" s="19"/>
    </row>
    <row r="949" spans="1:1" x14ac:dyDescent="0.25">
      <c r="A949" s="19"/>
    </row>
    <row r="950" spans="1:1" x14ac:dyDescent="0.25">
      <c r="A950" s="19"/>
    </row>
    <row r="951" spans="1:1" x14ac:dyDescent="0.25">
      <c r="A951" s="19"/>
    </row>
    <row r="952" spans="1:1" x14ac:dyDescent="0.25">
      <c r="A952" s="19"/>
    </row>
    <row r="953" spans="1:1" x14ac:dyDescent="0.25">
      <c r="A953" s="19"/>
    </row>
    <row r="954" spans="1:1" x14ac:dyDescent="0.25">
      <c r="A954" s="19"/>
    </row>
    <row r="955" spans="1:1" x14ac:dyDescent="0.25">
      <c r="A955" s="19"/>
    </row>
    <row r="956" spans="1:1" x14ac:dyDescent="0.25">
      <c r="A956" s="19"/>
    </row>
    <row r="957" spans="1:1" x14ac:dyDescent="0.25">
      <c r="A957" s="19"/>
    </row>
    <row r="958" spans="1:1" x14ac:dyDescent="0.25">
      <c r="A958" s="19"/>
    </row>
    <row r="959" spans="1:1" x14ac:dyDescent="0.25">
      <c r="A959" s="19"/>
    </row>
    <row r="960" spans="1:1" x14ac:dyDescent="0.25">
      <c r="A960" s="19"/>
    </row>
    <row r="961" spans="1:1" x14ac:dyDescent="0.25">
      <c r="A961" s="19"/>
    </row>
    <row r="962" spans="1:1" x14ac:dyDescent="0.25">
      <c r="A962" s="19"/>
    </row>
    <row r="963" spans="1:1" x14ac:dyDescent="0.25">
      <c r="A963" s="19"/>
    </row>
    <row r="964" spans="1:1" x14ac:dyDescent="0.25">
      <c r="A964" s="19"/>
    </row>
    <row r="965" spans="1:1" x14ac:dyDescent="0.25">
      <c r="A965" s="19"/>
    </row>
    <row r="966" spans="1:1" x14ac:dyDescent="0.25">
      <c r="A966" s="19"/>
    </row>
    <row r="967" spans="1:1" x14ac:dyDescent="0.25">
      <c r="A967" s="19"/>
    </row>
    <row r="968" spans="1:1" x14ac:dyDescent="0.25">
      <c r="A968" s="19"/>
    </row>
    <row r="969" spans="1:1" x14ac:dyDescent="0.25">
      <c r="A969" s="19"/>
    </row>
    <row r="970" spans="1:1" x14ac:dyDescent="0.25">
      <c r="A970" s="19"/>
    </row>
    <row r="971" spans="1:1" x14ac:dyDescent="0.25">
      <c r="A971" s="19"/>
    </row>
    <row r="972" spans="1:1" x14ac:dyDescent="0.25">
      <c r="A972" s="19"/>
    </row>
  </sheetData>
  <mergeCells count="2">
    <mergeCell ref="B1:L1"/>
    <mergeCell ref="A1:A2"/>
  </mergeCells>
  <hyperlinks>
    <hyperlink ref="B8" r:id="rId1" xr:uid="{00000000-0004-0000-0000-000000000000}"/>
    <hyperlink ref="A17" r:id="rId2" xr:uid="{00000000-0004-0000-0000-000001000000}"/>
    <hyperlink ref="B50" r:id="rId3" xr:uid="{00000000-0004-0000-0000-000002000000}"/>
    <hyperlink ref="B75" r:id="rId4" xr:uid="{00000000-0004-0000-0000-000003000000}"/>
    <hyperlink ref="B82" r:id="rId5" xr:uid="{00000000-0004-0000-0000-000004000000}"/>
    <hyperlink ref="A118" r:id="rId6" xr:uid="{00000000-0004-0000-0000-000005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7"/>
  <sheetViews>
    <sheetView workbookViewId="0">
      <pane ySplit="1" topLeftCell="A2" activePane="bottomLeft" state="frozen"/>
      <selection pane="bottomLeft"/>
    </sheetView>
  </sheetViews>
  <sheetFormatPr defaultRowHeight="15" x14ac:dyDescent="0.25"/>
  <cols>
    <col min="1" max="1" width="60" customWidth="1"/>
    <col min="2" max="2" width="95" customWidth="1"/>
  </cols>
  <sheetData>
    <row r="1" spans="1:2" x14ac:dyDescent="0.25">
      <c r="A1" s="20" t="s">
        <v>0</v>
      </c>
      <c r="B1" s="20" t="s">
        <v>224</v>
      </c>
    </row>
    <row r="2" spans="1:2" x14ac:dyDescent="0.25">
      <c r="A2" s="21" t="s">
        <v>15</v>
      </c>
      <c r="B2" s="22" t="s">
        <v>16</v>
      </c>
    </row>
    <row r="3" spans="1:2" x14ac:dyDescent="0.25">
      <c r="A3" s="21" t="s">
        <v>19</v>
      </c>
      <c r="B3" s="22" t="s">
        <v>20</v>
      </c>
    </row>
    <row r="4" spans="1:2" x14ac:dyDescent="0.25">
      <c r="A4" s="21" t="s">
        <v>21</v>
      </c>
      <c r="B4" s="22" t="s">
        <v>22</v>
      </c>
    </row>
    <row r="5" spans="1:2" x14ac:dyDescent="0.25">
      <c r="A5" s="21" t="s">
        <v>23</v>
      </c>
      <c r="B5" s="22" t="s">
        <v>24</v>
      </c>
    </row>
    <row r="6" spans="1:2" x14ac:dyDescent="0.25">
      <c r="A6" s="21" t="s">
        <v>25</v>
      </c>
      <c r="B6" s="22" t="s">
        <v>26</v>
      </c>
    </row>
    <row r="7" spans="1:2" x14ac:dyDescent="0.25">
      <c r="A7" s="21" t="s">
        <v>27</v>
      </c>
      <c r="B7" s="22" t="s">
        <v>28</v>
      </c>
    </row>
    <row r="8" spans="1:2" x14ac:dyDescent="0.25">
      <c r="A8" s="21" t="s">
        <v>31</v>
      </c>
      <c r="B8" s="22" t="s">
        <v>32</v>
      </c>
    </row>
    <row r="9" spans="1:2" x14ac:dyDescent="0.25">
      <c r="A9" s="21" t="s">
        <v>34</v>
      </c>
      <c r="B9" s="22" t="s">
        <v>35</v>
      </c>
    </row>
    <row r="10" spans="1:2" x14ac:dyDescent="0.25">
      <c r="A10" s="21" t="s">
        <v>225</v>
      </c>
      <c r="B10" s="22" t="s">
        <v>40</v>
      </c>
    </row>
    <row r="11" spans="1:2" x14ac:dyDescent="0.25">
      <c r="A11" s="21" t="s">
        <v>226</v>
      </c>
      <c r="B11" s="22" t="s">
        <v>47</v>
      </c>
    </row>
    <row r="12" spans="1:2" x14ac:dyDescent="0.25">
      <c r="A12" s="21" t="s">
        <v>227</v>
      </c>
      <c r="B12" s="22" t="s">
        <v>49</v>
      </c>
    </row>
    <row r="13" spans="1:2" x14ac:dyDescent="0.25">
      <c r="A13" s="21" t="s">
        <v>228</v>
      </c>
      <c r="B13" s="22" t="s">
        <v>35</v>
      </c>
    </row>
    <row r="14" spans="1:2" x14ac:dyDescent="0.25">
      <c r="A14" s="21" t="s">
        <v>229</v>
      </c>
      <c r="B14" s="22" t="s">
        <v>69</v>
      </c>
    </row>
    <row r="15" spans="1:2" x14ac:dyDescent="0.25">
      <c r="A15" s="21" t="s">
        <v>230</v>
      </c>
      <c r="B15" s="22" t="s">
        <v>70</v>
      </c>
    </row>
    <row r="16" spans="1:2" x14ac:dyDescent="0.25">
      <c r="A16" s="21" t="s">
        <v>231</v>
      </c>
      <c r="B16" s="22" t="s">
        <v>53</v>
      </c>
    </row>
    <row r="17" spans="1:2" x14ac:dyDescent="0.25">
      <c r="A17" s="21" t="s">
        <v>232</v>
      </c>
      <c r="B17" s="22" t="s">
        <v>69</v>
      </c>
    </row>
    <row r="18" spans="1:2" x14ac:dyDescent="0.25">
      <c r="A18" s="21" t="s">
        <v>233</v>
      </c>
      <c r="B18" s="22" t="s">
        <v>54</v>
      </c>
    </row>
    <row r="19" spans="1:2" x14ac:dyDescent="0.25">
      <c r="A19" s="21" t="s">
        <v>234</v>
      </c>
      <c r="B19" s="22" t="s">
        <v>70</v>
      </c>
    </row>
    <row r="20" spans="1:2" x14ac:dyDescent="0.25">
      <c r="A20" s="21" t="s">
        <v>235</v>
      </c>
      <c r="B20" s="22" t="s">
        <v>55</v>
      </c>
    </row>
    <row r="21" spans="1:2" x14ac:dyDescent="0.25">
      <c r="A21" s="21" t="s">
        <v>236</v>
      </c>
      <c r="B21" s="22" t="s">
        <v>70</v>
      </c>
    </row>
    <row r="22" spans="1:2" x14ac:dyDescent="0.25">
      <c r="A22" s="21" t="s">
        <v>237</v>
      </c>
      <c r="B22" s="22" t="s">
        <v>16</v>
      </c>
    </row>
    <row r="23" spans="1:2" x14ac:dyDescent="0.25">
      <c r="A23" s="21" t="s">
        <v>238</v>
      </c>
      <c r="B23" s="22" t="s">
        <v>85</v>
      </c>
    </row>
    <row r="24" spans="1:2" ht="38.25" x14ac:dyDescent="0.25">
      <c r="A24" s="21" t="s">
        <v>239</v>
      </c>
      <c r="B24" s="22" t="s">
        <v>87</v>
      </c>
    </row>
    <row r="25" spans="1:2" x14ac:dyDescent="0.25">
      <c r="A25" s="21" t="s">
        <v>240</v>
      </c>
      <c r="B25" s="22" t="s">
        <v>100</v>
      </c>
    </row>
    <row r="26" spans="1:2" x14ac:dyDescent="0.25">
      <c r="A26" s="21" t="s">
        <v>241</v>
      </c>
      <c r="B26" s="22" t="s">
        <v>22</v>
      </c>
    </row>
    <row r="27" spans="1:2" x14ac:dyDescent="0.25">
      <c r="A27" s="21" t="s">
        <v>242</v>
      </c>
      <c r="B27" s="22" t="s">
        <v>28</v>
      </c>
    </row>
    <row r="28" spans="1:2" x14ac:dyDescent="0.25">
      <c r="A28" s="21" t="s">
        <v>243</v>
      </c>
      <c r="B28" s="22" t="s">
        <v>28</v>
      </c>
    </row>
    <row r="29" spans="1:2" x14ac:dyDescent="0.25">
      <c r="A29" s="21" t="s">
        <v>244</v>
      </c>
      <c r="B29" s="22" t="s">
        <v>118</v>
      </c>
    </row>
    <row r="30" spans="1:2" x14ac:dyDescent="0.25">
      <c r="A30" s="21" t="s">
        <v>245</v>
      </c>
      <c r="B30" s="22" t="s">
        <v>124</v>
      </c>
    </row>
    <row r="31" spans="1:2" x14ac:dyDescent="0.25">
      <c r="A31" s="21" t="s">
        <v>246</v>
      </c>
      <c r="B31" s="22" t="s">
        <v>128</v>
      </c>
    </row>
    <row r="32" spans="1:2" x14ac:dyDescent="0.25">
      <c r="A32" s="21" t="s">
        <v>247</v>
      </c>
      <c r="B32" s="22" t="s">
        <v>132</v>
      </c>
    </row>
    <row r="33" spans="1:2" x14ac:dyDescent="0.25">
      <c r="A33" s="21" t="s">
        <v>248</v>
      </c>
      <c r="B33" s="22" t="s">
        <v>138</v>
      </c>
    </row>
    <row r="34" spans="1:2" x14ac:dyDescent="0.25">
      <c r="A34" s="21" t="s">
        <v>249</v>
      </c>
      <c r="B34" s="22" t="s">
        <v>74</v>
      </c>
    </row>
    <row r="35" spans="1:2" x14ac:dyDescent="0.25">
      <c r="A35" s="21" t="s">
        <v>250</v>
      </c>
      <c r="B35" s="22" t="s">
        <v>85</v>
      </c>
    </row>
    <row r="36" spans="1:2" ht="25.5" x14ac:dyDescent="0.25">
      <c r="A36" s="21" t="s">
        <v>251</v>
      </c>
      <c r="B36" s="22" t="s">
        <v>88</v>
      </c>
    </row>
    <row r="37" spans="1:2" x14ac:dyDescent="0.25">
      <c r="A37" s="21" t="s">
        <v>252</v>
      </c>
      <c r="B37" s="22" t="s">
        <v>28</v>
      </c>
    </row>
    <row r="38" spans="1:2" x14ac:dyDescent="0.25">
      <c r="A38" s="21" t="s">
        <v>253</v>
      </c>
      <c r="B38" s="22" t="s">
        <v>28</v>
      </c>
    </row>
    <row r="39" spans="1:2" x14ac:dyDescent="0.25">
      <c r="A39" s="21" t="s">
        <v>254</v>
      </c>
      <c r="B39" s="22" t="s">
        <v>32</v>
      </c>
    </row>
    <row r="40" spans="1:2" x14ac:dyDescent="0.25">
      <c r="A40" s="21" t="s">
        <v>255</v>
      </c>
      <c r="B40" s="22" t="s">
        <v>112</v>
      </c>
    </row>
    <row r="41" spans="1:2" x14ac:dyDescent="0.25">
      <c r="A41" s="21" t="s">
        <v>256</v>
      </c>
      <c r="B41" s="22" t="s">
        <v>124</v>
      </c>
    </row>
    <row r="42" spans="1:2" x14ac:dyDescent="0.25">
      <c r="A42" s="21" t="s">
        <v>257</v>
      </c>
      <c r="B42" s="22" t="s">
        <v>128</v>
      </c>
    </row>
    <row r="43" spans="1:2" x14ac:dyDescent="0.25">
      <c r="A43" s="21" t="s">
        <v>258</v>
      </c>
      <c r="B43" s="22" t="s">
        <v>133</v>
      </c>
    </row>
    <row r="44" spans="1:2" x14ac:dyDescent="0.25">
      <c r="A44" s="21" t="s">
        <v>259</v>
      </c>
      <c r="B44" s="22" t="s">
        <v>75</v>
      </c>
    </row>
    <row r="45" spans="1:2" x14ac:dyDescent="0.25">
      <c r="A45" s="21" t="s">
        <v>260</v>
      </c>
      <c r="B45" s="22" t="s">
        <v>85</v>
      </c>
    </row>
    <row r="46" spans="1:2" ht="51" x14ac:dyDescent="0.25">
      <c r="A46" s="21" t="s">
        <v>261</v>
      </c>
      <c r="B46" s="22" t="s">
        <v>89</v>
      </c>
    </row>
    <row r="47" spans="1:2" x14ac:dyDescent="0.25">
      <c r="A47" s="21" t="s">
        <v>262</v>
      </c>
      <c r="B47" s="22" t="s">
        <v>28</v>
      </c>
    </row>
    <row r="48" spans="1:2" x14ac:dyDescent="0.25">
      <c r="A48" s="21" t="s">
        <v>263</v>
      </c>
      <c r="B48" s="22" t="s">
        <v>28</v>
      </c>
    </row>
    <row r="49" spans="1:2" x14ac:dyDescent="0.25">
      <c r="A49" s="21" t="s">
        <v>264</v>
      </c>
      <c r="B49" s="22" t="s">
        <v>32</v>
      </c>
    </row>
    <row r="50" spans="1:2" x14ac:dyDescent="0.25">
      <c r="A50" s="21" t="s">
        <v>265</v>
      </c>
      <c r="B50" s="22" t="s">
        <v>124</v>
      </c>
    </row>
    <row r="51" spans="1:2" x14ac:dyDescent="0.25">
      <c r="A51" s="21" t="s">
        <v>266</v>
      </c>
      <c r="B51" s="22" t="s">
        <v>128</v>
      </c>
    </row>
    <row r="52" spans="1:2" x14ac:dyDescent="0.25">
      <c r="A52" s="21" t="s">
        <v>267</v>
      </c>
      <c r="B52" s="22" t="s">
        <v>133</v>
      </c>
    </row>
    <row r="53" spans="1:2" x14ac:dyDescent="0.25">
      <c r="A53" s="21" t="s">
        <v>268</v>
      </c>
      <c r="B53" s="22" t="s">
        <v>76</v>
      </c>
    </row>
    <row r="54" spans="1:2" x14ac:dyDescent="0.25">
      <c r="A54" s="21" t="s">
        <v>269</v>
      </c>
      <c r="B54" s="22" t="s">
        <v>85</v>
      </c>
    </row>
    <row r="55" spans="1:2" x14ac:dyDescent="0.25">
      <c r="A55" s="21" t="s">
        <v>270</v>
      </c>
      <c r="B55" s="22" t="s">
        <v>90</v>
      </c>
    </row>
    <row r="56" spans="1:2" x14ac:dyDescent="0.25">
      <c r="A56" s="21" t="s">
        <v>271</v>
      </c>
      <c r="B56" s="22" t="s">
        <v>28</v>
      </c>
    </row>
    <row r="57" spans="1:2" x14ac:dyDescent="0.25">
      <c r="A57" s="21" t="s">
        <v>272</v>
      </c>
      <c r="B57" s="22" t="s">
        <v>28</v>
      </c>
    </row>
    <row r="58" spans="1:2" x14ac:dyDescent="0.25">
      <c r="A58" s="21" t="s">
        <v>273</v>
      </c>
      <c r="B58" s="22" t="s">
        <v>32</v>
      </c>
    </row>
    <row r="59" spans="1:2" x14ac:dyDescent="0.25">
      <c r="A59" s="21" t="s">
        <v>274</v>
      </c>
      <c r="B59" s="22" t="s">
        <v>124</v>
      </c>
    </row>
    <row r="60" spans="1:2" x14ac:dyDescent="0.25">
      <c r="A60" s="21" t="s">
        <v>275</v>
      </c>
      <c r="B60" s="22" t="s">
        <v>128</v>
      </c>
    </row>
    <row r="61" spans="1:2" x14ac:dyDescent="0.25">
      <c r="A61" s="21" t="s">
        <v>276</v>
      </c>
      <c r="B61" s="22" t="s">
        <v>77</v>
      </c>
    </row>
    <row r="62" spans="1:2" x14ac:dyDescent="0.25">
      <c r="A62" s="21" t="s">
        <v>277</v>
      </c>
      <c r="B62" s="22" t="s">
        <v>85</v>
      </c>
    </row>
    <row r="63" spans="1:2" ht="25.5" x14ac:dyDescent="0.25">
      <c r="A63" s="21" t="s">
        <v>278</v>
      </c>
      <c r="B63" s="22" t="s">
        <v>91</v>
      </c>
    </row>
    <row r="64" spans="1:2" x14ac:dyDescent="0.25">
      <c r="A64" s="21" t="s">
        <v>279</v>
      </c>
      <c r="B64" s="22" t="s">
        <v>28</v>
      </c>
    </row>
    <row r="65" spans="1:2" x14ac:dyDescent="0.25">
      <c r="A65" s="21" t="s">
        <v>280</v>
      </c>
      <c r="B65" s="22" t="s">
        <v>28</v>
      </c>
    </row>
    <row r="66" spans="1:2" x14ac:dyDescent="0.25">
      <c r="A66" s="21" t="s">
        <v>281</v>
      </c>
      <c r="B66" s="22" t="s">
        <v>32</v>
      </c>
    </row>
    <row r="67" spans="1:2" x14ac:dyDescent="0.25">
      <c r="A67" s="21" t="s">
        <v>282</v>
      </c>
      <c r="B67" s="22" t="s">
        <v>112</v>
      </c>
    </row>
    <row r="68" spans="1:2" x14ac:dyDescent="0.25">
      <c r="A68" s="21" t="s">
        <v>283</v>
      </c>
      <c r="B68" s="22" t="s">
        <v>124</v>
      </c>
    </row>
    <row r="69" spans="1:2" x14ac:dyDescent="0.25">
      <c r="A69" s="21" t="s">
        <v>284</v>
      </c>
      <c r="B69" s="22" t="s">
        <v>128</v>
      </c>
    </row>
    <row r="70" spans="1:2" x14ac:dyDescent="0.25">
      <c r="A70" s="21" t="s">
        <v>285</v>
      </c>
      <c r="B70" s="22" t="s">
        <v>133</v>
      </c>
    </row>
    <row r="71" spans="1:2" x14ac:dyDescent="0.25">
      <c r="A71" s="21" t="s">
        <v>286</v>
      </c>
      <c r="B71" s="22" t="s">
        <v>78</v>
      </c>
    </row>
    <row r="72" spans="1:2" x14ac:dyDescent="0.25">
      <c r="A72" s="21" t="s">
        <v>287</v>
      </c>
      <c r="B72" s="22" t="s">
        <v>85</v>
      </c>
    </row>
    <row r="73" spans="1:2" ht="25.5" x14ac:dyDescent="0.25">
      <c r="A73" s="21" t="s">
        <v>288</v>
      </c>
      <c r="B73" s="22" t="s">
        <v>92</v>
      </c>
    </row>
    <row r="74" spans="1:2" x14ac:dyDescent="0.25">
      <c r="A74" s="21" t="s">
        <v>289</v>
      </c>
      <c r="B74" s="22" t="s">
        <v>28</v>
      </c>
    </row>
    <row r="75" spans="1:2" x14ac:dyDescent="0.25">
      <c r="A75" s="21" t="s">
        <v>290</v>
      </c>
      <c r="B75" s="22" t="s">
        <v>28</v>
      </c>
    </row>
    <row r="76" spans="1:2" x14ac:dyDescent="0.25">
      <c r="A76" s="21" t="s">
        <v>291</v>
      </c>
      <c r="B76" s="22" t="s">
        <v>32</v>
      </c>
    </row>
    <row r="77" spans="1:2" x14ac:dyDescent="0.25">
      <c r="A77" s="21" t="s">
        <v>292</v>
      </c>
      <c r="B77" s="22" t="s">
        <v>124</v>
      </c>
    </row>
    <row r="78" spans="1:2" x14ac:dyDescent="0.25">
      <c r="A78" s="21" t="s">
        <v>293</v>
      </c>
      <c r="B78" s="22" t="s">
        <v>128</v>
      </c>
    </row>
    <row r="79" spans="1:2" x14ac:dyDescent="0.25">
      <c r="A79" s="21" t="s">
        <v>294</v>
      </c>
      <c r="B79" s="22" t="s">
        <v>79</v>
      </c>
    </row>
    <row r="80" spans="1:2" x14ac:dyDescent="0.25">
      <c r="A80" s="21" t="s">
        <v>295</v>
      </c>
      <c r="B80" s="22" t="s">
        <v>85</v>
      </c>
    </row>
    <row r="81" spans="1:2" ht="25.5" x14ac:dyDescent="0.25">
      <c r="A81" s="21" t="s">
        <v>296</v>
      </c>
      <c r="B81" s="22" t="s">
        <v>93</v>
      </c>
    </row>
    <row r="82" spans="1:2" x14ac:dyDescent="0.25">
      <c r="A82" s="21" t="s">
        <v>297</v>
      </c>
      <c r="B82" s="22" t="s">
        <v>28</v>
      </c>
    </row>
    <row r="83" spans="1:2" x14ac:dyDescent="0.25">
      <c r="A83" s="21" t="s">
        <v>298</v>
      </c>
      <c r="B83" s="22" t="s">
        <v>28</v>
      </c>
    </row>
    <row r="84" spans="1:2" x14ac:dyDescent="0.25">
      <c r="A84" s="21" t="s">
        <v>299</v>
      </c>
      <c r="B84" s="22" t="s">
        <v>32</v>
      </c>
    </row>
    <row r="85" spans="1:2" x14ac:dyDescent="0.25">
      <c r="A85" s="21" t="s">
        <v>300</v>
      </c>
      <c r="B85" s="22" t="s">
        <v>301</v>
      </c>
    </row>
    <row r="86" spans="1:2" x14ac:dyDescent="0.25">
      <c r="A86" s="21" t="s">
        <v>302</v>
      </c>
      <c r="B86" s="22" t="s">
        <v>112</v>
      </c>
    </row>
    <row r="87" spans="1:2" x14ac:dyDescent="0.25">
      <c r="A87" s="21" t="s">
        <v>303</v>
      </c>
      <c r="B87" s="22" t="s">
        <v>121</v>
      </c>
    </row>
    <row r="88" spans="1:2" x14ac:dyDescent="0.25">
      <c r="A88" s="21" t="s">
        <v>304</v>
      </c>
      <c r="B88" s="22" t="s">
        <v>124</v>
      </c>
    </row>
    <row r="89" spans="1:2" x14ac:dyDescent="0.25">
      <c r="A89" s="21" t="s">
        <v>305</v>
      </c>
      <c r="B89" s="22" t="s">
        <v>128</v>
      </c>
    </row>
    <row r="90" spans="1:2" x14ac:dyDescent="0.25">
      <c r="A90" s="21" t="s">
        <v>306</v>
      </c>
      <c r="B90" s="22" t="s">
        <v>134</v>
      </c>
    </row>
    <row r="91" spans="1:2" x14ac:dyDescent="0.25">
      <c r="A91" s="21" t="s">
        <v>307</v>
      </c>
      <c r="B91" s="22" t="s">
        <v>80</v>
      </c>
    </row>
    <row r="92" spans="1:2" x14ac:dyDescent="0.25">
      <c r="A92" s="21" t="s">
        <v>308</v>
      </c>
      <c r="B92" s="22" t="s">
        <v>85</v>
      </c>
    </row>
    <row r="93" spans="1:2" ht="25.5" x14ac:dyDescent="0.25">
      <c r="A93" s="21" t="s">
        <v>309</v>
      </c>
      <c r="B93" s="22" t="s">
        <v>94</v>
      </c>
    </row>
    <row r="94" spans="1:2" x14ac:dyDescent="0.25">
      <c r="A94" s="21" t="s">
        <v>310</v>
      </c>
      <c r="B94" s="22" t="s">
        <v>28</v>
      </c>
    </row>
    <row r="95" spans="1:2" x14ac:dyDescent="0.25">
      <c r="A95" s="21" t="s">
        <v>311</v>
      </c>
      <c r="B95" s="22" t="s">
        <v>28</v>
      </c>
    </row>
    <row r="96" spans="1:2" x14ac:dyDescent="0.25">
      <c r="A96" s="21" t="s">
        <v>312</v>
      </c>
      <c r="B96" s="22" t="s">
        <v>32</v>
      </c>
    </row>
    <row r="97" spans="1:2" x14ac:dyDescent="0.25">
      <c r="A97" s="21" t="s">
        <v>313</v>
      </c>
      <c r="B97" s="22" t="s">
        <v>122</v>
      </c>
    </row>
    <row r="98" spans="1:2" x14ac:dyDescent="0.25">
      <c r="A98" s="21" t="s">
        <v>314</v>
      </c>
      <c r="B98" s="22" t="s">
        <v>124</v>
      </c>
    </row>
    <row r="99" spans="1:2" x14ac:dyDescent="0.25">
      <c r="A99" s="21" t="s">
        <v>315</v>
      </c>
      <c r="B99" s="22" t="s">
        <v>128</v>
      </c>
    </row>
    <row r="100" spans="1:2" x14ac:dyDescent="0.25">
      <c r="A100" s="21" t="s">
        <v>316</v>
      </c>
      <c r="B100" s="22" t="s">
        <v>133</v>
      </c>
    </row>
    <row r="101" spans="1:2" x14ac:dyDescent="0.25">
      <c r="A101" s="21" t="s">
        <v>317</v>
      </c>
      <c r="B101" s="22" t="s">
        <v>122</v>
      </c>
    </row>
    <row r="102" spans="1:2" x14ac:dyDescent="0.25">
      <c r="A102" s="21" t="s">
        <v>318</v>
      </c>
      <c r="B102" s="22" t="s">
        <v>124</v>
      </c>
    </row>
    <row r="103" spans="1:2" x14ac:dyDescent="0.25">
      <c r="A103" s="21" t="s">
        <v>319</v>
      </c>
      <c r="B103" s="22" t="s">
        <v>128</v>
      </c>
    </row>
    <row r="104" spans="1:2" x14ac:dyDescent="0.25">
      <c r="A104" s="21" t="s">
        <v>320</v>
      </c>
      <c r="B104" s="22" t="s">
        <v>136</v>
      </c>
    </row>
    <row r="105" spans="1:2" x14ac:dyDescent="0.25">
      <c r="A105" s="21" t="s">
        <v>321</v>
      </c>
      <c r="B105" s="22" t="s">
        <v>81</v>
      </c>
    </row>
    <row r="106" spans="1:2" x14ac:dyDescent="0.25">
      <c r="A106" s="21" t="s">
        <v>322</v>
      </c>
      <c r="B106" s="22" t="s">
        <v>85</v>
      </c>
    </row>
    <row r="107" spans="1:2" ht="51" x14ac:dyDescent="0.25">
      <c r="A107" s="21" t="s">
        <v>323</v>
      </c>
      <c r="B107" s="22" t="s">
        <v>95</v>
      </c>
    </row>
    <row r="108" spans="1:2" x14ac:dyDescent="0.25">
      <c r="A108" s="21" t="s">
        <v>324</v>
      </c>
      <c r="B108" s="22" t="s">
        <v>28</v>
      </c>
    </row>
    <row r="109" spans="1:2" x14ac:dyDescent="0.25">
      <c r="A109" s="21" t="s">
        <v>325</v>
      </c>
      <c r="B109" s="22" t="s">
        <v>28</v>
      </c>
    </row>
    <row r="110" spans="1:2" x14ac:dyDescent="0.25">
      <c r="A110" s="21" t="s">
        <v>326</v>
      </c>
      <c r="B110" s="22" t="s">
        <v>32</v>
      </c>
    </row>
    <row r="111" spans="1:2" x14ac:dyDescent="0.25">
      <c r="A111" s="21" t="s">
        <v>327</v>
      </c>
      <c r="B111" s="22" t="s">
        <v>124</v>
      </c>
    </row>
    <row r="112" spans="1:2" x14ac:dyDescent="0.25">
      <c r="A112" s="21" t="s">
        <v>328</v>
      </c>
      <c r="B112" s="22" t="s">
        <v>128</v>
      </c>
    </row>
    <row r="113" spans="1:2" x14ac:dyDescent="0.25">
      <c r="A113" s="21" t="s">
        <v>329</v>
      </c>
      <c r="B113" s="22" t="s">
        <v>133</v>
      </c>
    </row>
    <row r="114" spans="1:2" x14ac:dyDescent="0.25">
      <c r="A114" s="21" t="s">
        <v>330</v>
      </c>
      <c r="B114" s="22" t="s">
        <v>82</v>
      </c>
    </row>
    <row r="115" spans="1:2" x14ac:dyDescent="0.25">
      <c r="A115" s="21" t="s">
        <v>331</v>
      </c>
      <c r="B115" s="22" t="s">
        <v>85</v>
      </c>
    </row>
    <row r="116" spans="1:2" ht="38.25" x14ac:dyDescent="0.25">
      <c r="A116" s="21" t="s">
        <v>332</v>
      </c>
      <c r="B116" s="22" t="s">
        <v>96</v>
      </c>
    </row>
    <row r="117" spans="1:2" x14ac:dyDescent="0.25">
      <c r="A117" s="21" t="s">
        <v>333</v>
      </c>
      <c r="B117" s="22" t="s">
        <v>28</v>
      </c>
    </row>
    <row r="118" spans="1:2" x14ac:dyDescent="0.25">
      <c r="A118" s="21" t="s">
        <v>334</v>
      </c>
      <c r="B118" s="22" t="s">
        <v>28</v>
      </c>
    </row>
    <row r="119" spans="1:2" x14ac:dyDescent="0.25">
      <c r="A119" s="21" t="s">
        <v>335</v>
      </c>
      <c r="B119" s="22" t="s">
        <v>32</v>
      </c>
    </row>
    <row r="120" spans="1:2" x14ac:dyDescent="0.25">
      <c r="A120" s="21" t="s">
        <v>336</v>
      </c>
      <c r="B120" s="22" t="s">
        <v>124</v>
      </c>
    </row>
    <row r="121" spans="1:2" x14ac:dyDescent="0.25">
      <c r="A121" s="21" t="s">
        <v>337</v>
      </c>
      <c r="B121" s="22" t="s">
        <v>136</v>
      </c>
    </row>
    <row r="122" spans="1:2" x14ac:dyDescent="0.25">
      <c r="A122" s="21" t="s">
        <v>338</v>
      </c>
      <c r="B122" s="22" t="s">
        <v>83</v>
      </c>
    </row>
    <row r="123" spans="1:2" x14ac:dyDescent="0.25">
      <c r="A123" s="21" t="s">
        <v>339</v>
      </c>
      <c r="B123" s="22" t="s">
        <v>85</v>
      </c>
    </row>
    <row r="124" spans="1:2" ht="25.5" x14ac:dyDescent="0.25">
      <c r="A124" s="21" t="s">
        <v>340</v>
      </c>
      <c r="B124" s="22" t="s">
        <v>97</v>
      </c>
    </row>
    <row r="125" spans="1:2" x14ac:dyDescent="0.25">
      <c r="A125" s="21" t="s">
        <v>341</v>
      </c>
      <c r="B125" s="22" t="s">
        <v>28</v>
      </c>
    </row>
    <row r="126" spans="1:2" x14ac:dyDescent="0.25">
      <c r="A126" s="21" t="s">
        <v>342</v>
      </c>
      <c r="B126" s="22" t="s">
        <v>28</v>
      </c>
    </row>
    <row r="127" spans="1:2" x14ac:dyDescent="0.25">
      <c r="A127" s="21" t="s">
        <v>343</v>
      </c>
      <c r="B127" s="22" t="s">
        <v>32</v>
      </c>
    </row>
    <row r="128" spans="1:2" x14ac:dyDescent="0.25">
      <c r="A128" s="21" t="s">
        <v>344</v>
      </c>
      <c r="B128" s="22" t="s">
        <v>124</v>
      </c>
    </row>
    <row r="129" spans="1:2" x14ac:dyDescent="0.25">
      <c r="A129" s="21" t="s">
        <v>345</v>
      </c>
      <c r="B129" s="22" t="s">
        <v>136</v>
      </c>
    </row>
    <row r="130" spans="1:2" x14ac:dyDescent="0.25">
      <c r="A130" s="21" t="s">
        <v>346</v>
      </c>
      <c r="B130" s="22" t="s">
        <v>146</v>
      </c>
    </row>
    <row r="131" spans="1:2" x14ac:dyDescent="0.25">
      <c r="A131" s="21" t="s">
        <v>347</v>
      </c>
      <c r="B131" s="22" t="s">
        <v>118</v>
      </c>
    </row>
    <row r="132" spans="1:2" ht="140.25" x14ac:dyDescent="0.25">
      <c r="A132" s="21" t="s">
        <v>348</v>
      </c>
      <c r="B132" s="22" t="s">
        <v>158</v>
      </c>
    </row>
    <row r="133" spans="1:2" x14ac:dyDescent="0.25">
      <c r="A133" s="21" t="s">
        <v>349</v>
      </c>
      <c r="B133" s="22" t="s">
        <v>164</v>
      </c>
    </row>
    <row r="134" spans="1:2" x14ac:dyDescent="0.25">
      <c r="A134" s="21" t="s">
        <v>350</v>
      </c>
      <c r="B134" s="22" t="s">
        <v>166</v>
      </c>
    </row>
    <row r="135" spans="1:2" x14ac:dyDescent="0.25">
      <c r="A135" s="21" t="s">
        <v>351</v>
      </c>
      <c r="B135" s="22" t="s">
        <v>170</v>
      </c>
    </row>
    <row r="137" spans="1:2" x14ac:dyDescent="0.25">
      <c r="A137" s="23" t="s">
        <v>352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0"/>
  <sheetViews>
    <sheetView workbookViewId="0">
      <pane ySplit="1" topLeftCell="A2" activePane="bottomLeft" state="frozen"/>
      <selection pane="bottomLeft"/>
    </sheetView>
  </sheetViews>
  <sheetFormatPr defaultColWidth="14.42578125" defaultRowHeight="15" customHeight="1" x14ac:dyDescent="0.25"/>
  <cols>
    <col min="1" max="1" width="34" customWidth="1"/>
    <col min="2" max="2" width="95" customWidth="1"/>
    <col min="3" max="3" width="42" customWidth="1"/>
    <col min="4" max="4" width="21.85546875" customWidth="1"/>
    <col min="5" max="5" width="85.85546875" customWidth="1"/>
    <col min="6" max="26" width="8.5703125" customWidth="1"/>
  </cols>
  <sheetData>
    <row r="1" spans="1:5" ht="15" customHeight="1" x14ac:dyDescent="0.25">
      <c r="A1" s="20" t="s">
        <v>0</v>
      </c>
      <c r="B1" s="24" t="s">
        <v>224</v>
      </c>
      <c r="C1" s="20" t="s">
        <v>353</v>
      </c>
      <c r="D1" s="24" t="s">
        <v>354</v>
      </c>
      <c r="E1" s="20" t="s">
        <v>355</v>
      </c>
    </row>
    <row r="2" spans="1:5" ht="15" customHeight="1" x14ac:dyDescent="0.25">
      <c r="A2" s="21" t="s">
        <v>226</v>
      </c>
      <c r="B2" s="22" t="s">
        <v>47</v>
      </c>
      <c r="C2" s="22" t="s">
        <v>47</v>
      </c>
      <c r="D2" s="21" t="s">
        <v>356</v>
      </c>
      <c r="E2" s="22"/>
    </row>
    <row r="3" spans="1:5" ht="15" customHeight="1" x14ac:dyDescent="0.25">
      <c r="A3" s="21" t="s">
        <v>227</v>
      </c>
      <c r="B3" s="22" t="s">
        <v>49</v>
      </c>
      <c r="C3" s="22" t="s">
        <v>49</v>
      </c>
      <c r="D3" s="21" t="s">
        <v>356</v>
      </c>
      <c r="E3" s="22"/>
    </row>
    <row r="4" spans="1:5" ht="15" customHeight="1" x14ac:dyDescent="0.25">
      <c r="A4" s="21" t="s">
        <v>36</v>
      </c>
      <c r="B4" s="22" t="s">
        <v>357</v>
      </c>
      <c r="C4" s="22"/>
      <c r="D4" s="25" t="s">
        <v>358</v>
      </c>
      <c r="E4" s="22" t="s">
        <v>359</v>
      </c>
    </row>
    <row r="5" spans="1:5" ht="15" customHeight="1" x14ac:dyDescent="0.25">
      <c r="A5" s="21" t="s">
        <v>34</v>
      </c>
      <c r="B5" s="22" t="s">
        <v>35</v>
      </c>
      <c r="C5" s="22" t="s">
        <v>35</v>
      </c>
      <c r="D5" s="21" t="s">
        <v>356</v>
      </c>
      <c r="E5" s="22"/>
    </row>
    <row r="6" spans="1:5" ht="15" customHeight="1" x14ac:dyDescent="0.25">
      <c r="A6" s="21" t="s">
        <v>23</v>
      </c>
      <c r="B6" s="22" t="s">
        <v>24</v>
      </c>
      <c r="C6" s="22" t="s">
        <v>24</v>
      </c>
      <c r="D6" s="21" t="s">
        <v>356</v>
      </c>
      <c r="E6" s="22"/>
    </row>
    <row r="7" spans="1:5" ht="15" customHeight="1" x14ac:dyDescent="0.25">
      <c r="A7" s="21" t="s">
        <v>240</v>
      </c>
      <c r="B7" s="22" t="s">
        <v>20</v>
      </c>
      <c r="C7" s="22" t="s">
        <v>100</v>
      </c>
      <c r="D7" s="25" t="s">
        <v>358</v>
      </c>
      <c r="E7" s="22" t="s">
        <v>360</v>
      </c>
    </row>
    <row r="8" spans="1:5" ht="15" customHeight="1" x14ac:dyDescent="0.25">
      <c r="A8" s="21" t="s">
        <v>241</v>
      </c>
      <c r="B8" s="22" t="s">
        <v>22</v>
      </c>
      <c r="C8" s="22" t="s">
        <v>22</v>
      </c>
      <c r="D8" s="21" t="s">
        <v>356</v>
      </c>
      <c r="E8" s="22"/>
    </row>
    <row r="9" spans="1:5" ht="15" customHeight="1" x14ac:dyDescent="0.25">
      <c r="A9" s="21" t="s">
        <v>242</v>
      </c>
      <c r="B9" s="22" t="s">
        <v>28</v>
      </c>
      <c r="C9" s="22" t="s">
        <v>28</v>
      </c>
      <c r="D9" s="21" t="s">
        <v>356</v>
      </c>
      <c r="E9" s="22"/>
    </row>
    <row r="10" spans="1:5" ht="15" customHeight="1" x14ac:dyDescent="0.25">
      <c r="A10" s="21" t="s">
        <v>243</v>
      </c>
      <c r="B10" s="22" t="s">
        <v>28</v>
      </c>
      <c r="C10" s="22" t="s">
        <v>28</v>
      </c>
      <c r="D10" s="21" t="s">
        <v>356</v>
      </c>
      <c r="E10" s="22"/>
    </row>
    <row r="11" spans="1:5" ht="15" customHeight="1" x14ac:dyDescent="0.25">
      <c r="A11" s="21" t="s">
        <v>237</v>
      </c>
      <c r="B11" s="22" t="s">
        <v>16</v>
      </c>
      <c r="C11" s="22" t="s">
        <v>16</v>
      </c>
      <c r="D11" s="21" t="s">
        <v>356</v>
      </c>
      <c r="E11" s="22"/>
    </row>
    <row r="12" spans="1:5" ht="15" customHeight="1" x14ac:dyDescent="0.25">
      <c r="A12" s="21" t="s">
        <v>238</v>
      </c>
      <c r="B12" s="22" t="s">
        <v>85</v>
      </c>
      <c r="C12" s="22" t="s">
        <v>85</v>
      </c>
      <c r="D12" s="21" t="s">
        <v>356</v>
      </c>
      <c r="E12" s="22"/>
    </row>
    <row r="13" spans="1:5" ht="15" customHeight="1" x14ac:dyDescent="0.25">
      <c r="A13" s="21" t="s">
        <v>19</v>
      </c>
      <c r="B13" s="22" t="s">
        <v>20</v>
      </c>
      <c r="C13" s="22" t="s">
        <v>20</v>
      </c>
      <c r="D13" s="21" t="s">
        <v>356</v>
      </c>
      <c r="E13" s="22"/>
    </row>
    <row r="14" spans="1:5" ht="15" customHeight="1" x14ac:dyDescent="0.25">
      <c r="A14" s="21" t="s">
        <v>21</v>
      </c>
      <c r="B14" s="22" t="s">
        <v>22</v>
      </c>
      <c r="C14" s="22" t="s">
        <v>22</v>
      </c>
      <c r="D14" s="21" t="s">
        <v>356</v>
      </c>
      <c r="E14" s="22"/>
    </row>
    <row r="15" spans="1:5" ht="15" customHeight="1" x14ac:dyDescent="0.25">
      <c r="A15" s="21" t="s">
        <v>27</v>
      </c>
      <c r="B15" s="22" t="s">
        <v>28</v>
      </c>
      <c r="C15" s="22" t="s">
        <v>28</v>
      </c>
      <c r="D15" s="21" t="s">
        <v>356</v>
      </c>
      <c r="E15" s="22"/>
    </row>
    <row r="16" spans="1:5" ht="15" customHeight="1" x14ac:dyDescent="0.25">
      <c r="A16" s="21" t="s">
        <v>31</v>
      </c>
      <c r="B16" s="22" t="s">
        <v>32</v>
      </c>
      <c r="C16" s="22" t="s">
        <v>32</v>
      </c>
      <c r="D16" s="21" t="s">
        <v>356</v>
      </c>
      <c r="E16" s="22"/>
    </row>
    <row r="17" spans="1:5" ht="15" customHeight="1" x14ac:dyDescent="0.25">
      <c r="A17" s="21" t="s">
        <v>25</v>
      </c>
      <c r="B17" s="22" t="s">
        <v>26</v>
      </c>
      <c r="C17" s="22" t="s">
        <v>26</v>
      </c>
      <c r="D17" s="21" t="s">
        <v>356</v>
      </c>
      <c r="E17" s="22"/>
    </row>
    <row r="18" spans="1:5" ht="15" customHeight="1" x14ac:dyDescent="0.25">
      <c r="A18" s="21" t="s">
        <v>15</v>
      </c>
      <c r="B18" s="22" t="s">
        <v>16</v>
      </c>
      <c r="C18" s="22" t="s">
        <v>16</v>
      </c>
      <c r="D18" s="21" t="s">
        <v>356</v>
      </c>
      <c r="E18" s="22"/>
    </row>
    <row r="19" spans="1:5" ht="14.25" customHeight="1" x14ac:dyDescent="0.25">
      <c r="A19" s="21" t="s">
        <v>225</v>
      </c>
      <c r="B19" s="22"/>
      <c r="C19" s="22" t="s">
        <v>40</v>
      </c>
      <c r="D19" s="26" t="s">
        <v>361</v>
      </c>
      <c r="E19" s="22"/>
    </row>
    <row r="20" spans="1:5" ht="14.25" customHeight="1" x14ac:dyDescent="0.25">
      <c r="A20" s="21" t="s">
        <v>228</v>
      </c>
      <c r="B20" s="22"/>
      <c r="C20" s="22" t="s">
        <v>35</v>
      </c>
      <c r="D20" s="26" t="s">
        <v>361</v>
      </c>
      <c r="E20" s="22"/>
    </row>
    <row r="21" spans="1:5" ht="14.25" customHeight="1" x14ac:dyDescent="0.25">
      <c r="A21" s="21" t="s">
        <v>229</v>
      </c>
      <c r="B21" s="22"/>
      <c r="C21" s="22" t="s">
        <v>69</v>
      </c>
      <c r="D21" s="26" t="s">
        <v>361</v>
      </c>
      <c r="E21" s="22"/>
    </row>
    <row r="22" spans="1:5" ht="14.25" customHeight="1" x14ac:dyDescent="0.25">
      <c r="A22" s="21" t="s">
        <v>230</v>
      </c>
      <c r="B22" s="22"/>
      <c r="C22" s="22" t="s">
        <v>70</v>
      </c>
      <c r="D22" s="26" t="s">
        <v>361</v>
      </c>
      <c r="E22" s="22"/>
    </row>
    <row r="23" spans="1:5" ht="14.25" customHeight="1" x14ac:dyDescent="0.25">
      <c r="A23" s="21" t="s">
        <v>231</v>
      </c>
      <c r="B23" s="22"/>
      <c r="C23" s="22" t="s">
        <v>53</v>
      </c>
      <c r="D23" s="26" t="s">
        <v>361</v>
      </c>
      <c r="E23" s="22"/>
    </row>
    <row r="24" spans="1:5" ht="14.25" customHeight="1" x14ac:dyDescent="0.25">
      <c r="A24" s="21" t="s">
        <v>232</v>
      </c>
      <c r="B24" s="22"/>
      <c r="C24" s="22" t="s">
        <v>69</v>
      </c>
      <c r="D24" s="26" t="s">
        <v>361</v>
      </c>
      <c r="E24" s="22"/>
    </row>
    <row r="25" spans="1:5" ht="14.25" customHeight="1" x14ac:dyDescent="0.25">
      <c r="A25" s="21" t="s">
        <v>233</v>
      </c>
      <c r="B25" s="22"/>
      <c r="C25" s="22" t="s">
        <v>54</v>
      </c>
      <c r="D25" s="26" t="s">
        <v>361</v>
      </c>
      <c r="E25" s="22"/>
    </row>
    <row r="26" spans="1:5" ht="14.25" customHeight="1" x14ac:dyDescent="0.25">
      <c r="A26" s="21" t="s">
        <v>234</v>
      </c>
      <c r="B26" s="22"/>
      <c r="C26" s="22" t="s">
        <v>70</v>
      </c>
      <c r="D26" s="26" t="s">
        <v>361</v>
      </c>
      <c r="E26" s="22"/>
    </row>
    <row r="27" spans="1:5" ht="14.25" customHeight="1" x14ac:dyDescent="0.25">
      <c r="A27" s="21" t="s">
        <v>235</v>
      </c>
      <c r="B27" s="22"/>
      <c r="C27" s="22" t="s">
        <v>55</v>
      </c>
      <c r="D27" s="26" t="s">
        <v>361</v>
      </c>
      <c r="E27" s="22"/>
    </row>
    <row r="28" spans="1:5" ht="14.25" customHeight="1" x14ac:dyDescent="0.25">
      <c r="A28" s="21" t="s">
        <v>236</v>
      </c>
      <c r="B28" s="22"/>
      <c r="C28" s="22" t="s">
        <v>70</v>
      </c>
      <c r="D28" s="26" t="s">
        <v>361</v>
      </c>
      <c r="E28" s="22"/>
    </row>
    <row r="29" spans="1:5" ht="14.25" customHeight="1" x14ac:dyDescent="0.25">
      <c r="A29" s="21" t="s">
        <v>240</v>
      </c>
      <c r="B29" s="22"/>
      <c r="C29" s="22" t="s">
        <v>100</v>
      </c>
      <c r="D29" s="26" t="s">
        <v>361</v>
      </c>
      <c r="E29" s="22"/>
    </row>
    <row r="30" spans="1:5" ht="14.25" customHeight="1" x14ac:dyDescent="0.25">
      <c r="A30" s="21" t="s">
        <v>239</v>
      </c>
      <c r="B30" s="22"/>
      <c r="C30" s="22" t="s">
        <v>87</v>
      </c>
      <c r="D30" s="26" t="s">
        <v>361</v>
      </c>
      <c r="E30" s="22"/>
    </row>
    <row r="31" spans="1:5" ht="14.25" customHeight="1" x14ac:dyDescent="0.25">
      <c r="A31" s="21" t="s">
        <v>245</v>
      </c>
      <c r="B31" s="22"/>
      <c r="C31" s="22" t="s">
        <v>124</v>
      </c>
      <c r="D31" s="26" t="s">
        <v>361</v>
      </c>
      <c r="E31" s="22"/>
    </row>
    <row r="32" spans="1:5" ht="14.25" customHeight="1" x14ac:dyDescent="0.25">
      <c r="A32" s="21" t="s">
        <v>247</v>
      </c>
      <c r="B32" s="22"/>
      <c r="C32" s="22" t="s">
        <v>132</v>
      </c>
      <c r="D32" s="26" t="s">
        <v>361</v>
      </c>
      <c r="E32" s="22"/>
    </row>
    <row r="33" spans="1:5" ht="14.25" customHeight="1" x14ac:dyDescent="0.25">
      <c r="A33" s="21" t="s">
        <v>248</v>
      </c>
      <c r="B33" s="22"/>
      <c r="C33" s="22" t="s">
        <v>138</v>
      </c>
      <c r="D33" s="26" t="s">
        <v>361</v>
      </c>
      <c r="E33" s="22"/>
    </row>
    <row r="34" spans="1:5" ht="14.25" customHeight="1" x14ac:dyDescent="0.25">
      <c r="A34" s="21" t="s">
        <v>246</v>
      </c>
      <c r="B34" s="22"/>
      <c r="C34" s="22" t="s">
        <v>128</v>
      </c>
      <c r="D34" s="26" t="s">
        <v>361</v>
      </c>
      <c r="E34" s="22"/>
    </row>
    <row r="35" spans="1:5" ht="14.25" customHeight="1" x14ac:dyDescent="0.25">
      <c r="A35" s="21" t="s">
        <v>244</v>
      </c>
      <c r="B35" s="22"/>
      <c r="C35" s="22" t="s">
        <v>118</v>
      </c>
      <c r="D35" s="26" t="s">
        <v>361</v>
      </c>
      <c r="E35" s="22"/>
    </row>
    <row r="36" spans="1:5" ht="14.25" customHeight="1" x14ac:dyDescent="0.25">
      <c r="A36" s="21" t="s">
        <v>340</v>
      </c>
      <c r="B36" s="22"/>
      <c r="C36" s="22" t="s">
        <v>97</v>
      </c>
      <c r="D36" s="26" t="s">
        <v>361</v>
      </c>
      <c r="E36" s="22"/>
    </row>
    <row r="37" spans="1:5" ht="14.25" customHeight="1" x14ac:dyDescent="0.25">
      <c r="A37" s="21" t="s">
        <v>344</v>
      </c>
      <c r="B37" s="22"/>
      <c r="C37" s="22" t="s">
        <v>124</v>
      </c>
      <c r="D37" s="26" t="s">
        <v>361</v>
      </c>
      <c r="E37" s="22"/>
    </row>
    <row r="38" spans="1:5" ht="14.25" customHeight="1" x14ac:dyDescent="0.25">
      <c r="A38" s="21" t="s">
        <v>345</v>
      </c>
      <c r="B38" s="22"/>
      <c r="C38" s="22" t="s">
        <v>136</v>
      </c>
      <c r="D38" s="26" t="s">
        <v>361</v>
      </c>
      <c r="E38" s="22"/>
    </row>
    <row r="39" spans="1:5" ht="14.25" customHeight="1" x14ac:dyDescent="0.25">
      <c r="A39" s="21" t="s">
        <v>343</v>
      </c>
      <c r="B39" s="22"/>
      <c r="C39" s="22" t="s">
        <v>32</v>
      </c>
      <c r="D39" s="26" t="s">
        <v>361</v>
      </c>
      <c r="E39" s="22"/>
    </row>
    <row r="40" spans="1:5" ht="14.25" customHeight="1" x14ac:dyDescent="0.25">
      <c r="A40" s="21" t="s">
        <v>341</v>
      </c>
      <c r="B40" s="22"/>
      <c r="C40" s="22" t="s">
        <v>28</v>
      </c>
      <c r="D40" s="26" t="s">
        <v>361</v>
      </c>
      <c r="E40" s="22"/>
    </row>
    <row r="41" spans="1:5" ht="14.25" customHeight="1" x14ac:dyDescent="0.25">
      <c r="A41" s="21" t="s">
        <v>342</v>
      </c>
      <c r="B41" s="22"/>
      <c r="C41" s="22" t="s">
        <v>28</v>
      </c>
      <c r="D41" s="26" t="s">
        <v>361</v>
      </c>
      <c r="E41" s="22"/>
    </row>
    <row r="42" spans="1:5" ht="14.25" customHeight="1" x14ac:dyDescent="0.25">
      <c r="A42" s="21" t="s">
        <v>338</v>
      </c>
      <c r="B42" s="22"/>
      <c r="C42" s="22" t="s">
        <v>83</v>
      </c>
      <c r="D42" s="26" t="s">
        <v>361</v>
      </c>
      <c r="E42" s="22"/>
    </row>
    <row r="43" spans="1:5" ht="14.25" customHeight="1" x14ac:dyDescent="0.25">
      <c r="A43" s="21" t="s">
        <v>339</v>
      </c>
      <c r="B43" s="22"/>
      <c r="C43" s="22" t="s">
        <v>85</v>
      </c>
      <c r="D43" s="26" t="s">
        <v>361</v>
      </c>
      <c r="E43" s="22"/>
    </row>
    <row r="44" spans="1:5" ht="14.25" customHeight="1" x14ac:dyDescent="0.25">
      <c r="A44" s="21" t="s">
        <v>251</v>
      </c>
      <c r="B44" s="22"/>
      <c r="C44" s="22" t="s">
        <v>88</v>
      </c>
      <c r="D44" s="26" t="s">
        <v>361</v>
      </c>
      <c r="E44" s="22"/>
    </row>
    <row r="45" spans="1:5" ht="14.25" customHeight="1" x14ac:dyDescent="0.25">
      <c r="A45" s="21" t="s">
        <v>256</v>
      </c>
      <c r="B45" s="22"/>
      <c r="C45" s="22" t="s">
        <v>124</v>
      </c>
      <c r="D45" s="26" t="s">
        <v>361</v>
      </c>
      <c r="E45" s="22"/>
    </row>
    <row r="46" spans="1:5" ht="14.25" customHeight="1" x14ac:dyDescent="0.25">
      <c r="A46" s="21" t="s">
        <v>258</v>
      </c>
      <c r="B46" s="22"/>
      <c r="C46" s="22" t="s">
        <v>133</v>
      </c>
      <c r="D46" s="26" t="s">
        <v>361</v>
      </c>
      <c r="E46" s="22"/>
    </row>
    <row r="47" spans="1:5" ht="14.25" customHeight="1" x14ac:dyDescent="0.25">
      <c r="A47" s="21" t="s">
        <v>257</v>
      </c>
      <c r="B47" s="22"/>
      <c r="C47" s="22" t="s">
        <v>128</v>
      </c>
      <c r="D47" s="26" t="s">
        <v>361</v>
      </c>
      <c r="E47" s="22"/>
    </row>
    <row r="48" spans="1:5" ht="14.25" customHeight="1" x14ac:dyDescent="0.25">
      <c r="A48" s="21" t="s">
        <v>254</v>
      </c>
      <c r="B48" s="22"/>
      <c r="C48" s="22" t="s">
        <v>32</v>
      </c>
      <c r="D48" s="26" t="s">
        <v>361</v>
      </c>
      <c r="E48" s="22"/>
    </row>
    <row r="49" spans="1:5" ht="14.25" customHeight="1" x14ac:dyDescent="0.25">
      <c r="A49" s="21" t="s">
        <v>255</v>
      </c>
      <c r="B49" s="22"/>
      <c r="C49" s="22" t="s">
        <v>112</v>
      </c>
      <c r="D49" s="26" t="s">
        <v>361</v>
      </c>
      <c r="E49" s="22"/>
    </row>
    <row r="50" spans="1:5" ht="14.25" customHeight="1" x14ac:dyDescent="0.25">
      <c r="A50" s="21" t="s">
        <v>252</v>
      </c>
      <c r="B50" s="22"/>
      <c r="C50" s="22" t="s">
        <v>28</v>
      </c>
      <c r="D50" s="26" t="s">
        <v>361</v>
      </c>
      <c r="E50" s="22"/>
    </row>
    <row r="51" spans="1:5" ht="14.25" customHeight="1" x14ac:dyDescent="0.25">
      <c r="A51" s="21" t="s">
        <v>253</v>
      </c>
      <c r="B51" s="22"/>
      <c r="C51" s="22" t="s">
        <v>28</v>
      </c>
      <c r="D51" s="26" t="s">
        <v>361</v>
      </c>
      <c r="E51" s="22"/>
    </row>
    <row r="52" spans="1:5" ht="14.25" customHeight="1" x14ac:dyDescent="0.25">
      <c r="A52" s="21" t="s">
        <v>249</v>
      </c>
      <c r="B52" s="22"/>
      <c r="C52" s="22" t="s">
        <v>74</v>
      </c>
      <c r="D52" s="26" t="s">
        <v>361</v>
      </c>
      <c r="E52" s="22"/>
    </row>
    <row r="53" spans="1:5" ht="14.25" customHeight="1" x14ac:dyDescent="0.25">
      <c r="A53" s="21" t="s">
        <v>250</v>
      </c>
      <c r="B53" s="22"/>
      <c r="C53" s="22" t="s">
        <v>85</v>
      </c>
      <c r="D53" s="26" t="s">
        <v>361</v>
      </c>
      <c r="E53" s="22"/>
    </row>
    <row r="54" spans="1:5" ht="14.25" customHeight="1" x14ac:dyDescent="0.25">
      <c r="A54" s="21" t="s">
        <v>261</v>
      </c>
      <c r="B54" s="22"/>
      <c r="C54" s="22" t="s">
        <v>89</v>
      </c>
      <c r="D54" s="26" t="s">
        <v>361</v>
      </c>
      <c r="E54" s="22"/>
    </row>
    <row r="55" spans="1:5" ht="14.25" customHeight="1" x14ac:dyDescent="0.25">
      <c r="A55" s="21" t="s">
        <v>265</v>
      </c>
      <c r="B55" s="22"/>
      <c r="C55" s="22" t="s">
        <v>124</v>
      </c>
      <c r="D55" s="26" t="s">
        <v>361</v>
      </c>
      <c r="E55" s="22"/>
    </row>
    <row r="56" spans="1:5" ht="14.25" customHeight="1" x14ac:dyDescent="0.25">
      <c r="A56" s="21" t="s">
        <v>267</v>
      </c>
      <c r="B56" s="22"/>
      <c r="C56" s="22" t="s">
        <v>133</v>
      </c>
      <c r="D56" s="26" t="s">
        <v>361</v>
      </c>
      <c r="E56" s="22"/>
    </row>
    <row r="57" spans="1:5" ht="14.25" customHeight="1" x14ac:dyDescent="0.25">
      <c r="A57" s="21" t="s">
        <v>266</v>
      </c>
      <c r="B57" s="22"/>
      <c r="C57" s="22" t="s">
        <v>128</v>
      </c>
      <c r="D57" s="26" t="s">
        <v>361</v>
      </c>
      <c r="E57" s="22"/>
    </row>
    <row r="58" spans="1:5" ht="14.25" customHeight="1" x14ac:dyDescent="0.25">
      <c r="A58" s="21" t="s">
        <v>264</v>
      </c>
      <c r="B58" s="22"/>
      <c r="C58" s="22" t="s">
        <v>32</v>
      </c>
      <c r="D58" s="26" t="s">
        <v>361</v>
      </c>
      <c r="E58" s="22"/>
    </row>
    <row r="59" spans="1:5" ht="14.25" customHeight="1" x14ac:dyDescent="0.25">
      <c r="A59" s="21" t="s">
        <v>262</v>
      </c>
      <c r="B59" s="22"/>
      <c r="C59" s="22" t="s">
        <v>28</v>
      </c>
      <c r="D59" s="26" t="s">
        <v>361</v>
      </c>
      <c r="E59" s="22"/>
    </row>
    <row r="60" spans="1:5" ht="14.25" customHeight="1" x14ac:dyDescent="0.25">
      <c r="A60" s="21" t="s">
        <v>263</v>
      </c>
      <c r="B60" s="22"/>
      <c r="C60" s="22" t="s">
        <v>28</v>
      </c>
      <c r="D60" s="26" t="s">
        <v>361</v>
      </c>
      <c r="E60" s="22"/>
    </row>
    <row r="61" spans="1:5" ht="14.25" customHeight="1" x14ac:dyDescent="0.25">
      <c r="A61" s="21" t="s">
        <v>259</v>
      </c>
      <c r="B61" s="22"/>
      <c r="C61" s="22" t="s">
        <v>75</v>
      </c>
      <c r="D61" s="26" t="s">
        <v>361</v>
      </c>
      <c r="E61" s="22"/>
    </row>
    <row r="62" spans="1:5" ht="14.25" customHeight="1" x14ac:dyDescent="0.25">
      <c r="A62" s="21" t="s">
        <v>260</v>
      </c>
      <c r="B62" s="22"/>
      <c r="C62" s="22" t="s">
        <v>85</v>
      </c>
      <c r="D62" s="26" t="s">
        <v>361</v>
      </c>
      <c r="E62" s="22"/>
    </row>
    <row r="63" spans="1:5" ht="14.25" customHeight="1" x14ac:dyDescent="0.25">
      <c r="A63" s="21" t="s">
        <v>270</v>
      </c>
      <c r="B63" s="22"/>
      <c r="C63" s="22" t="s">
        <v>90</v>
      </c>
      <c r="D63" s="26" t="s">
        <v>361</v>
      </c>
      <c r="E63" s="22"/>
    </row>
    <row r="64" spans="1:5" ht="14.25" customHeight="1" x14ac:dyDescent="0.25">
      <c r="A64" s="21" t="s">
        <v>274</v>
      </c>
      <c r="B64" s="22"/>
      <c r="C64" s="22" t="s">
        <v>124</v>
      </c>
      <c r="D64" s="26" t="s">
        <v>361</v>
      </c>
      <c r="E64" s="22"/>
    </row>
    <row r="65" spans="1:5" ht="14.25" customHeight="1" x14ac:dyDescent="0.25">
      <c r="A65" s="21" t="s">
        <v>275</v>
      </c>
      <c r="B65" s="22"/>
      <c r="C65" s="22" t="s">
        <v>128</v>
      </c>
      <c r="D65" s="26" t="s">
        <v>361</v>
      </c>
      <c r="E65" s="22"/>
    </row>
    <row r="66" spans="1:5" ht="14.25" customHeight="1" x14ac:dyDescent="0.25">
      <c r="A66" s="21" t="s">
        <v>273</v>
      </c>
      <c r="B66" s="22"/>
      <c r="C66" s="22" t="s">
        <v>32</v>
      </c>
      <c r="D66" s="26" t="s">
        <v>361</v>
      </c>
      <c r="E66" s="22"/>
    </row>
    <row r="67" spans="1:5" ht="14.25" customHeight="1" x14ac:dyDescent="0.25">
      <c r="A67" s="21" t="s">
        <v>271</v>
      </c>
      <c r="B67" s="22"/>
      <c r="C67" s="22" t="s">
        <v>28</v>
      </c>
      <c r="D67" s="26" t="s">
        <v>361</v>
      </c>
      <c r="E67" s="22"/>
    </row>
    <row r="68" spans="1:5" ht="14.25" customHeight="1" x14ac:dyDescent="0.25">
      <c r="A68" s="21" t="s">
        <v>272</v>
      </c>
      <c r="B68" s="22"/>
      <c r="C68" s="22" t="s">
        <v>28</v>
      </c>
      <c r="D68" s="26" t="s">
        <v>361</v>
      </c>
      <c r="E68" s="22"/>
    </row>
    <row r="69" spans="1:5" ht="14.25" customHeight="1" x14ac:dyDescent="0.25">
      <c r="A69" s="21" t="s">
        <v>268</v>
      </c>
      <c r="B69" s="22"/>
      <c r="C69" s="22" t="s">
        <v>76</v>
      </c>
      <c r="D69" s="26" t="s">
        <v>361</v>
      </c>
      <c r="E69" s="22"/>
    </row>
    <row r="70" spans="1:5" ht="14.25" customHeight="1" x14ac:dyDescent="0.25">
      <c r="A70" s="21" t="s">
        <v>269</v>
      </c>
      <c r="B70" s="22"/>
      <c r="C70" s="22" t="s">
        <v>85</v>
      </c>
      <c r="D70" s="26" t="s">
        <v>361</v>
      </c>
      <c r="E70" s="22"/>
    </row>
    <row r="71" spans="1:5" ht="14.25" customHeight="1" x14ac:dyDescent="0.25">
      <c r="A71" s="21" t="s">
        <v>278</v>
      </c>
      <c r="B71" s="22"/>
      <c r="C71" s="22" t="s">
        <v>91</v>
      </c>
      <c r="D71" s="26" t="s">
        <v>361</v>
      </c>
      <c r="E71" s="22"/>
    </row>
    <row r="72" spans="1:5" ht="14.25" customHeight="1" x14ac:dyDescent="0.25">
      <c r="A72" s="21" t="s">
        <v>283</v>
      </c>
      <c r="B72" s="22"/>
      <c r="C72" s="22" t="s">
        <v>124</v>
      </c>
      <c r="D72" s="26" t="s">
        <v>361</v>
      </c>
      <c r="E72" s="22"/>
    </row>
    <row r="73" spans="1:5" ht="14.25" customHeight="1" x14ac:dyDescent="0.25">
      <c r="A73" s="21" t="s">
        <v>285</v>
      </c>
      <c r="B73" s="22"/>
      <c r="C73" s="22" t="s">
        <v>133</v>
      </c>
      <c r="D73" s="26" t="s">
        <v>361</v>
      </c>
      <c r="E73" s="22"/>
    </row>
    <row r="74" spans="1:5" ht="14.25" customHeight="1" x14ac:dyDescent="0.25">
      <c r="A74" s="21" t="s">
        <v>284</v>
      </c>
      <c r="B74" s="22"/>
      <c r="C74" s="22" t="s">
        <v>128</v>
      </c>
      <c r="D74" s="26" t="s">
        <v>361</v>
      </c>
      <c r="E74" s="22"/>
    </row>
    <row r="75" spans="1:5" ht="14.25" customHeight="1" x14ac:dyDescent="0.25">
      <c r="A75" s="21" t="s">
        <v>281</v>
      </c>
      <c r="B75" s="22"/>
      <c r="C75" s="22" t="s">
        <v>32</v>
      </c>
      <c r="D75" s="26" t="s">
        <v>361</v>
      </c>
      <c r="E75" s="22"/>
    </row>
    <row r="76" spans="1:5" ht="14.25" customHeight="1" x14ac:dyDescent="0.25">
      <c r="A76" s="21" t="s">
        <v>282</v>
      </c>
      <c r="B76" s="22"/>
      <c r="C76" s="22" t="s">
        <v>112</v>
      </c>
      <c r="D76" s="26" t="s">
        <v>361</v>
      </c>
      <c r="E76" s="22"/>
    </row>
    <row r="77" spans="1:5" ht="14.25" customHeight="1" x14ac:dyDescent="0.25">
      <c r="A77" s="21" t="s">
        <v>279</v>
      </c>
      <c r="B77" s="22"/>
      <c r="C77" s="22" t="s">
        <v>28</v>
      </c>
      <c r="D77" s="26" t="s">
        <v>361</v>
      </c>
      <c r="E77" s="22"/>
    </row>
    <row r="78" spans="1:5" ht="14.25" customHeight="1" x14ac:dyDescent="0.25">
      <c r="A78" s="21" t="s">
        <v>280</v>
      </c>
      <c r="B78" s="22"/>
      <c r="C78" s="22" t="s">
        <v>28</v>
      </c>
      <c r="D78" s="26" t="s">
        <v>361</v>
      </c>
      <c r="E78" s="22"/>
    </row>
    <row r="79" spans="1:5" ht="14.25" customHeight="1" x14ac:dyDescent="0.25">
      <c r="A79" s="21" t="s">
        <v>276</v>
      </c>
      <c r="B79" s="22"/>
      <c r="C79" s="22" t="s">
        <v>77</v>
      </c>
      <c r="D79" s="26" t="s">
        <v>361</v>
      </c>
      <c r="E79" s="22"/>
    </row>
    <row r="80" spans="1:5" ht="14.25" customHeight="1" x14ac:dyDescent="0.25">
      <c r="A80" s="21" t="s">
        <v>277</v>
      </c>
      <c r="B80" s="22"/>
      <c r="C80" s="22" t="s">
        <v>85</v>
      </c>
      <c r="D80" s="26" t="s">
        <v>361</v>
      </c>
      <c r="E80" s="22"/>
    </row>
    <row r="81" spans="1:5" ht="14.25" customHeight="1" x14ac:dyDescent="0.25">
      <c r="A81" s="21" t="s">
        <v>288</v>
      </c>
      <c r="B81" s="22"/>
      <c r="C81" s="22" t="s">
        <v>92</v>
      </c>
      <c r="D81" s="26" t="s">
        <v>361</v>
      </c>
      <c r="E81" s="22"/>
    </row>
    <row r="82" spans="1:5" ht="14.25" customHeight="1" x14ac:dyDescent="0.25">
      <c r="A82" s="21" t="s">
        <v>292</v>
      </c>
      <c r="B82" s="22"/>
      <c r="C82" s="22" t="s">
        <v>124</v>
      </c>
      <c r="D82" s="26" t="s">
        <v>361</v>
      </c>
      <c r="E82" s="22"/>
    </row>
    <row r="83" spans="1:5" ht="14.25" customHeight="1" x14ac:dyDescent="0.25">
      <c r="A83" s="21" t="s">
        <v>293</v>
      </c>
      <c r="B83" s="22"/>
      <c r="C83" s="22" t="s">
        <v>128</v>
      </c>
      <c r="D83" s="26" t="s">
        <v>361</v>
      </c>
      <c r="E83" s="22"/>
    </row>
    <row r="84" spans="1:5" ht="14.25" customHeight="1" x14ac:dyDescent="0.25">
      <c r="A84" s="21" t="s">
        <v>291</v>
      </c>
      <c r="B84" s="22"/>
      <c r="C84" s="22" t="s">
        <v>32</v>
      </c>
      <c r="D84" s="26" t="s">
        <v>361</v>
      </c>
      <c r="E84" s="22"/>
    </row>
    <row r="85" spans="1:5" ht="14.25" customHeight="1" x14ac:dyDescent="0.25">
      <c r="A85" s="21" t="s">
        <v>289</v>
      </c>
      <c r="B85" s="22"/>
      <c r="C85" s="22" t="s">
        <v>28</v>
      </c>
      <c r="D85" s="26" t="s">
        <v>361</v>
      </c>
      <c r="E85" s="22"/>
    </row>
    <row r="86" spans="1:5" ht="14.25" customHeight="1" x14ac:dyDescent="0.25">
      <c r="A86" s="21" t="s">
        <v>290</v>
      </c>
      <c r="B86" s="22"/>
      <c r="C86" s="22" t="s">
        <v>28</v>
      </c>
      <c r="D86" s="26" t="s">
        <v>361</v>
      </c>
      <c r="E86" s="22"/>
    </row>
    <row r="87" spans="1:5" ht="14.25" customHeight="1" x14ac:dyDescent="0.25">
      <c r="A87" s="21" t="s">
        <v>286</v>
      </c>
      <c r="B87" s="22"/>
      <c r="C87" s="22" t="s">
        <v>78</v>
      </c>
      <c r="D87" s="26" t="s">
        <v>361</v>
      </c>
      <c r="E87" s="22"/>
    </row>
    <row r="88" spans="1:5" ht="14.25" customHeight="1" x14ac:dyDescent="0.25">
      <c r="A88" s="21" t="s">
        <v>287</v>
      </c>
      <c r="B88" s="22"/>
      <c r="C88" s="22" t="s">
        <v>85</v>
      </c>
      <c r="D88" s="26" t="s">
        <v>361</v>
      </c>
      <c r="E88" s="22"/>
    </row>
    <row r="89" spans="1:5" ht="14.25" customHeight="1" x14ac:dyDescent="0.25">
      <c r="A89" s="21" t="s">
        <v>296</v>
      </c>
      <c r="B89" s="22"/>
      <c r="C89" s="22" t="s">
        <v>93</v>
      </c>
      <c r="D89" s="26" t="s">
        <v>361</v>
      </c>
      <c r="E89" s="22"/>
    </row>
    <row r="90" spans="1:5" ht="14.25" customHeight="1" x14ac:dyDescent="0.25">
      <c r="A90" s="21" t="s">
        <v>304</v>
      </c>
      <c r="B90" s="22"/>
      <c r="C90" s="22" t="s">
        <v>124</v>
      </c>
      <c r="D90" s="26" t="s">
        <v>361</v>
      </c>
      <c r="E90" s="22"/>
    </row>
    <row r="91" spans="1:5" ht="14.25" customHeight="1" x14ac:dyDescent="0.25">
      <c r="A91" s="21" t="s">
        <v>306</v>
      </c>
      <c r="B91" s="22"/>
      <c r="C91" s="22" t="s">
        <v>134</v>
      </c>
      <c r="D91" s="26" t="s">
        <v>361</v>
      </c>
      <c r="E91" s="22"/>
    </row>
    <row r="92" spans="1:5" ht="14.25" customHeight="1" x14ac:dyDescent="0.25">
      <c r="A92" s="21" t="s">
        <v>303</v>
      </c>
      <c r="B92" s="22"/>
      <c r="C92" s="22" t="s">
        <v>121</v>
      </c>
      <c r="D92" s="26" t="s">
        <v>361</v>
      </c>
      <c r="E92" s="22"/>
    </row>
    <row r="93" spans="1:5" ht="14.25" customHeight="1" x14ac:dyDescent="0.25">
      <c r="A93" s="21" t="s">
        <v>305</v>
      </c>
      <c r="B93" s="22"/>
      <c r="C93" s="22" t="s">
        <v>128</v>
      </c>
      <c r="D93" s="26" t="s">
        <v>361</v>
      </c>
      <c r="E93" s="22"/>
    </row>
    <row r="94" spans="1:5" ht="14.25" customHeight="1" x14ac:dyDescent="0.25">
      <c r="A94" s="21" t="s">
        <v>299</v>
      </c>
      <c r="B94" s="22"/>
      <c r="C94" s="22" t="s">
        <v>32</v>
      </c>
      <c r="D94" s="26" t="s">
        <v>361</v>
      </c>
      <c r="E94" s="22"/>
    </row>
    <row r="95" spans="1:5" ht="14.25" customHeight="1" x14ac:dyDescent="0.25">
      <c r="A95" s="21" t="s">
        <v>300</v>
      </c>
      <c r="B95" s="22"/>
      <c r="C95" s="22" t="s">
        <v>301</v>
      </c>
      <c r="D95" s="26" t="s">
        <v>361</v>
      </c>
      <c r="E95" s="22"/>
    </row>
    <row r="96" spans="1:5" ht="14.25" customHeight="1" x14ac:dyDescent="0.25">
      <c r="A96" s="21" t="s">
        <v>302</v>
      </c>
      <c r="B96" s="22"/>
      <c r="C96" s="22" t="s">
        <v>112</v>
      </c>
      <c r="D96" s="26" t="s">
        <v>361</v>
      </c>
      <c r="E96" s="22"/>
    </row>
    <row r="97" spans="1:5" ht="14.25" customHeight="1" x14ac:dyDescent="0.25">
      <c r="A97" s="21" t="s">
        <v>297</v>
      </c>
      <c r="B97" s="22"/>
      <c r="C97" s="22" t="s">
        <v>28</v>
      </c>
      <c r="D97" s="26" t="s">
        <v>361</v>
      </c>
      <c r="E97" s="22"/>
    </row>
    <row r="98" spans="1:5" ht="14.25" customHeight="1" x14ac:dyDescent="0.25">
      <c r="A98" s="21" t="s">
        <v>298</v>
      </c>
      <c r="B98" s="22"/>
      <c r="C98" s="22" t="s">
        <v>28</v>
      </c>
      <c r="D98" s="26" t="s">
        <v>361</v>
      </c>
      <c r="E98" s="22"/>
    </row>
    <row r="99" spans="1:5" ht="14.25" customHeight="1" x14ac:dyDescent="0.25">
      <c r="A99" s="21" t="s">
        <v>294</v>
      </c>
      <c r="B99" s="22"/>
      <c r="C99" s="22" t="s">
        <v>79</v>
      </c>
      <c r="D99" s="26" t="s">
        <v>361</v>
      </c>
      <c r="E99" s="22"/>
    </row>
    <row r="100" spans="1:5" ht="14.25" customHeight="1" x14ac:dyDescent="0.25">
      <c r="A100" s="21" t="s">
        <v>295</v>
      </c>
      <c r="B100" s="22"/>
      <c r="C100" s="22" t="s">
        <v>85</v>
      </c>
      <c r="D100" s="26" t="s">
        <v>361</v>
      </c>
      <c r="E100" s="22"/>
    </row>
    <row r="101" spans="1:5" ht="14.25" customHeight="1" x14ac:dyDescent="0.25">
      <c r="A101" s="21" t="s">
        <v>309</v>
      </c>
      <c r="B101" s="22"/>
      <c r="C101" s="22" t="s">
        <v>94</v>
      </c>
      <c r="D101" s="26" t="s">
        <v>361</v>
      </c>
      <c r="E101" s="22"/>
    </row>
    <row r="102" spans="1:5" ht="14.25" customHeight="1" x14ac:dyDescent="0.25">
      <c r="A102" s="21" t="s">
        <v>314</v>
      </c>
      <c r="B102" s="22"/>
      <c r="C102" s="22" t="s">
        <v>124</v>
      </c>
      <c r="D102" s="26" t="s">
        <v>361</v>
      </c>
      <c r="E102" s="22"/>
    </row>
    <row r="103" spans="1:5" ht="14.25" customHeight="1" x14ac:dyDescent="0.25">
      <c r="A103" s="21" t="s">
        <v>316</v>
      </c>
      <c r="B103" s="22"/>
      <c r="C103" s="22" t="s">
        <v>133</v>
      </c>
      <c r="D103" s="26" t="s">
        <v>361</v>
      </c>
      <c r="E103" s="22"/>
    </row>
    <row r="104" spans="1:5" ht="14.25" customHeight="1" x14ac:dyDescent="0.25">
      <c r="A104" s="21" t="s">
        <v>313</v>
      </c>
      <c r="B104" s="22"/>
      <c r="C104" s="22" t="s">
        <v>122</v>
      </c>
      <c r="D104" s="26" t="s">
        <v>361</v>
      </c>
      <c r="E104" s="22"/>
    </row>
    <row r="105" spans="1:5" ht="14.25" customHeight="1" x14ac:dyDescent="0.25">
      <c r="A105" s="21" t="s">
        <v>315</v>
      </c>
      <c r="B105" s="22"/>
      <c r="C105" s="22" t="s">
        <v>128</v>
      </c>
      <c r="D105" s="26" t="s">
        <v>361</v>
      </c>
      <c r="E105" s="22"/>
    </row>
    <row r="106" spans="1:5" ht="14.25" customHeight="1" x14ac:dyDescent="0.25">
      <c r="A106" s="21" t="s">
        <v>318</v>
      </c>
      <c r="B106" s="22"/>
      <c r="C106" s="22" t="s">
        <v>124</v>
      </c>
      <c r="D106" s="26" t="s">
        <v>361</v>
      </c>
      <c r="E106" s="22"/>
    </row>
    <row r="107" spans="1:5" ht="14.25" customHeight="1" x14ac:dyDescent="0.25">
      <c r="A107" s="21" t="s">
        <v>320</v>
      </c>
      <c r="B107" s="22"/>
      <c r="C107" s="22" t="s">
        <v>136</v>
      </c>
      <c r="D107" s="26" t="s">
        <v>361</v>
      </c>
      <c r="E107" s="22"/>
    </row>
    <row r="108" spans="1:5" ht="14.25" customHeight="1" x14ac:dyDescent="0.25">
      <c r="A108" s="21" t="s">
        <v>317</v>
      </c>
      <c r="B108" s="22"/>
      <c r="C108" s="22" t="s">
        <v>122</v>
      </c>
      <c r="D108" s="26" t="s">
        <v>361</v>
      </c>
      <c r="E108" s="22"/>
    </row>
    <row r="109" spans="1:5" ht="14.25" customHeight="1" x14ac:dyDescent="0.25">
      <c r="A109" s="21" t="s">
        <v>319</v>
      </c>
      <c r="B109" s="22"/>
      <c r="C109" s="22" t="s">
        <v>128</v>
      </c>
      <c r="D109" s="26" t="s">
        <v>361</v>
      </c>
      <c r="E109" s="22"/>
    </row>
    <row r="110" spans="1:5" ht="14.25" customHeight="1" x14ac:dyDescent="0.25">
      <c r="A110" s="21" t="s">
        <v>312</v>
      </c>
      <c r="B110" s="22"/>
      <c r="C110" s="22" t="s">
        <v>32</v>
      </c>
      <c r="D110" s="26" t="s">
        <v>361</v>
      </c>
      <c r="E110" s="22"/>
    </row>
    <row r="111" spans="1:5" ht="14.25" customHeight="1" x14ac:dyDescent="0.25">
      <c r="A111" s="21" t="s">
        <v>310</v>
      </c>
      <c r="B111" s="22"/>
      <c r="C111" s="22" t="s">
        <v>28</v>
      </c>
      <c r="D111" s="26" t="s">
        <v>361</v>
      </c>
      <c r="E111" s="22"/>
    </row>
    <row r="112" spans="1:5" ht="14.25" customHeight="1" x14ac:dyDescent="0.25">
      <c r="A112" s="21" t="s">
        <v>311</v>
      </c>
      <c r="B112" s="22"/>
      <c r="C112" s="22" t="s">
        <v>28</v>
      </c>
      <c r="D112" s="26" t="s">
        <v>361</v>
      </c>
      <c r="E112" s="22"/>
    </row>
    <row r="113" spans="1:5" ht="14.25" customHeight="1" x14ac:dyDescent="0.25">
      <c r="A113" s="21" t="s">
        <v>307</v>
      </c>
      <c r="B113" s="22"/>
      <c r="C113" s="22" t="s">
        <v>80</v>
      </c>
      <c r="D113" s="26" t="s">
        <v>361</v>
      </c>
      <c r="E113" s="22"/>
    </row>
    <row r="114" spans="1:5" ht="14.25" customHeight="1" x14ac:dyDescent="0.25">
      <c r="A114" s="21" t="s">
        <v>308</v>
      </c>
      <c r="B114" s="22"/>
      <c r="C114" s="22" t="s">
        <v>85</v>
      </c>
      <c r="D114" s="26" t="s">
        <v>361</v>
      </c>
      <c r="E114" s="22"/>
    </row>
    <row r="115" spans="1:5" ht="14.25" customHeight="1" x14ac:dyDescent="0.25">
      <c r="A115" s="21" t="s">
        <v>323</v>
      </c>
      <c r="B115" s="22"/>
      <c r="C115" s="22" t="s">
        <v>95</v>
      </c>
      <c r="D115" s="26" t="s">
        <v>361</v>
      </c>
      <c r="E115" s="22"/>
    </row>
    <row r="116" spans="1:5" ht="14.25" customHeight="1" x14ac:dyDescent="0.25">
      <c r="A116" s="21" t="s">
        <v>327</v>
      </c>
      <c r="B116" s="22"/>
      <c r="C116" s="22" t="s">
        <v>124</v>
      </c>
      <c r="D116" s="26" t="s">
        <v>361</v>
      </c>
      <c r="E116" s="22"/>
    </row>
    <row r="117" spans="1:5" ht="14.25" customHeight="1" x14ac:dyDescent="0.25">
      <c r="A117" s="21" t="s">
        <v>329</v>
      </c>
      <c r="B117" s="22"/>
      <c r="C117" s="22" t="s">
        <v>133</v>
      </c>
      <c r="D117" s="26" t="s">
        <v>361</v>
      </c>
      <c r="E117" s="22"/>
    </row>
    <row r="118" spans="1:5" ht="14.25" customHeight="1" x14ac:dyDescent="0.25">
      <c r="A118" s="21" t="s">
        <v>328</v>
      </c>
      <c r="B118" s="22"/>
      <c r="C118" s="22" t="s">
        <v>128</v>
      </c>
      <c r="D118" s="26" t="s">
        <v>361</v>
      </c>
      <c r="E118" s="22"/>
    </row>
    <row r="119" spans="1:5" ht="14.25" customHeight="1" x14ac:dyDescent="0.25">
      <c r="A119" s="21" t="s">
        <v>326</v>
      </c>
      <c r="B119" s="22"/>
      <c r="C119" s="22" t="s">
        <v>32</v>
      </c>
      <c r="D119" s="26" t="s">
        <v>361</v>
      </c>
      <c r="E119" s="22"/>
    </row>
    <row r="120" spans="1:5" ht="14.25" customHeight="1" x14ac:dyDescent="0.25">
      <c r="A120" s="21" t="s">
        <v>324</v>
      </c>
      <c r="B120" s="22"/>
      <c r="C120" s="22" t="s">
        <v>28</v>
      </c>
      <c r="D120" s="26" t="s">
        <v>361</v>
      </c>
      <c r="E120" s="22"/>
    </row>
    <row r="121" spans="1:5" ht="14.25" customHeight="1" x14ac:dyDescent="0.25">
      <c r="A121" s="21" t="s">
        <v>325</v>
      </c>
      <c r="B121" s="22"/>
      <c r="C121" s="22" t="s">
        <v>28</v>
      </c>
      <c r="D121" s="26" t="s">
        <v>361</v>
      </c>
      <c r="E121" s="22"/>
    </row>
    <row r="122" spans="1:5" ht="14.25" customHeight="1" x14ac:dyDescent="0.25">
      <c r="A122" s="21" t="s">
        <v>321</v>
      </c>
      <c r="B122" s="22"/>
      <c r="C122" s="22" t="s">
        <v>81</v>
      </c>
      <c r="D122" s="26" t="s">
        <v>361</v>
      </c>
      <c r="E122" s="22"/>
    </row>
    <row r="123" spans="1:5" ht="14.25" customHeight="1" x14ac:dyDescent="0.25">
      <c r="A123" s="21" t="s">
        <v>322</v>
      </c>
      <c r="B123" s="22"/>
      <c r="C123" s="22" t="s">
        <v>85</v>
      </c>
      <c r="D123" s="26" t="s">
        <v>361</v>
      </c>
      <c r="E123" s="22"/>
    </row>
    <row r="124" spans="1:5" ht="14.25" customHeight="1" x14ac:dyDescent="0.25">
      <c r="A124" s="21" t="s">
        <v>332</v>
      </c>
      <c r="B124" s="22"/>
      <c r="C124" s="22" t="s">
        <v>96</v>
      </c>
      <c r="D124" s="26" t="s">
        <v>361</v>
      </c>
      <c r="E124" s="22"/>
    </row>
    <row r="125" spans="1:5" ht="14.25" customHeight="1" x14ac:dyDescent="0.25">
      <c r="A125" s="21" t="s">
        <v>336</v>
      </c>
      <c r="B125" s="22"/>
      <c r="C125" s="22" t="s">
        <v>124</v>
      </c>
      <c r="D125" s="26" t="s">
        <v>361</v>
      </c>
      <c r="E125" s="22"/>
    </row>
    <row r="126" spans="1:5" ht="14.25" customHeight="1" x14ac:dyDescent="0.25">
      <c r="A126" s="21" t="s">
        <v>337</v>
      </c>
      <c r="B126" s="22"/>
      <c r="C126" s="22" t="s">
        <v>136</v>
      </c>
      <c r="D126" s="26" t="s">
        <v>361</v>
      </c>
      <c r="E126" s="22"/>
    </row>
    <row r="127" spans="1:5" ht="14.25" customHeight="1" x14ac:dyDescent="0.25">
      <c r="A127" s="21" t="s">
        <v>335</v>
      </c>
      <c r="B127" s="22"/>
      <c r="C127" s="22" t="s">
        <v>32</v>
      </c>
      <c r="D127" s="26" t="s">
        <v>361</v>
      </c>
      <c r="E127" s="22"/>
    </row>
    <row r="128" spans="1:5" ht="14.25" customHeight="1" x14ac:dyDescent="0.25">
      <c r="A128" s="21" t="s">
        <v>333</v>
      </c>
      <c r="B128" s="22"/>
      <c r="C128" s="22" t="s">
        <v>28</v>
      </c>
      <c r="D128" s="26" t="s">
        <v>361</v>
      </c>
      <c r="E128" s="22"/>
    </row>
    <row r="129" spans="1:5" ht="14.25" customHeight="1" x14ac:dyDescent="0.25">
      <c r="A129" s="21" t="s">
        <v>334</v>
      </c>
      <c r="B129" s="22"/>
      <c r="C129" s="22" t="s">
        <v>28</v>
      </c>
      <c r="D129" s="26" t="s">
        <v>361</v>
      </c>
      <c r="E129" s="22"/>
    </row>
    <row r="130" spans="1:5" ht="14.25" customHeight="1" x14ac:dyDescent="0.25">
      <c r="A130" s="21" t="s">
        <v>330</v>
      </c>
      <c r="B130" s="22"/>
      <c r="C130" s="22" t="s">
        <v>82</v>
      </c>
      <c r="D130" s="26" t="s">
        <v>361</v>
      </c>
      <c r="E130" s="22"/>
    </row>
    <row r="131" spans="1:5" ht="14.25" customHeight="1" x14ac:dyDescent="0.25">
      <c r="A131" s="21" t="s">
        <v>331</v>
      </c>
      <c r="B131" s="22"/>
      <c r="C131" s="22" t="s">
        <v>85</v>
      </c>
      <c r="D131" s="26" t="s">
        <v>361</v>
      </c>
      <c r="E131" s="22"/>
    </row>
    <row r="132" spans="1:5" ht="14.25" customHeight="1" x14ac:dyDescent="0.25">
      <c r="A132" s="21" t="s">
        <v>348</v>
      </c>
      <c r="B132" s="22"/>
      <c r="C132" s="22" t="s">
        <v>158</v>
      </c>
      <c r="D132" s="26" t="s">
        <v>361</v>
      </c>
      <c r="E132" s="22"/>
    </row>
    <row r="133" spans="1:5" ht="14.25" customHeight="1" x14ac:dyDescent="0.25">
      <c r="A133" s="21" t="s">
        <v>350</v>
      </c>
      <c r="B133" s="22"/>
      <c r="C133" s="22" t="s">
        <v>166</v>
      </c>
      <c r="D133" s="26" t="s">
        <v>361</v>
      </c>
      <c r="E133" s="22"/>
    </row>
    <row r="134" spans="1:5" ht="14.25" customHeight="1" x14ac:dyDescent="0.25">
      <c r="A134" s="21" t="s">
        <v>351</v>
      </c>
      <c r="B134" s="22"/>
      <c r="C134" s="22" t="s">
        <v>170</v>
      </c>
      <c r="D134" s="26" t="s">
        <v>361</v>
      </c>
      <c r="E134" s="22"/>
    </row>
    <row r="135" spans="1:5" ht="14.25" customHeight="1" x14ac:dyDescent="0.25">
      <c r="A135" s="21" t="s">
        <v>349</v>
      </c>
      <c r="B135" s="22"/>
      <c r="C135" s="22" t="s">
        <v>164</v>
      </c>
      <c r="D135" s="26" t="s">
        <v>361</v>
      </c>
      <c r="E135" s="22"/>
    </row>
    <row r="136" spans="1:5" ht="14.25" customHeight="1" x14ac:dyDescent="0.25">
      <c r="A136" s="21" t="s">
        <v>347</v>
      </c>
      <c r="B136" s="22"/>
      <c r="C136" s="22" t="s">
        <v>118</v>
      </c>
      <c r="D136" s="26" t="s">
        <v>361</v>
      </c>
      <c r="E136" s="22"/>
    </row>
    <row r="137" spans="1:5" ht="14.25" customHeight="1" x14ac:dyDescent="0.25">
      <c r="A137" s="21" t="s">
        <v>346</v>
      </c>
      <c r="B137" s="22"/>
      <c r="C137" s="22" t="s">
        <v>146</v>
      </c>
      <c r="D137" s="26" t="s">
        <v>361</v>
      </c>
      <c r="E137" s="22"/>
    </row>
    <row r="138" spans="1:5" ht="14.25" customHeight="1" x14ac:dyDescent="0.25"/>
    <row r="139" spans="1:5" ht="14.25" customHeight="1" x14ac:dyDescent="0.25"/>
    <row r="140" spans="1:5" ht="14.25" customHeight="1" x14ac:dyDescent="0.25"/>
    <row r="141" spans="1:5" ht="14.25" customHeight="1" x14ac:dyDescent="0.25"/>
    <row r="142" spans="1:5" ht="14.25" customHeight="1" x14ac:dyDescent="0.25"/>
    <row r="143" spans="1:5" ht="14.25" customHeight="1" x14ac:dyDescent="0.25"/>
    <row r="144" spans="1:5"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conditionalFormatting sqref="D2:D3 D8:D17">
    <cfRule type="cellIs" dxfId="19" priority="1" operator="equal">
      <formula>"Correct"</formula>
    </cfRule>
    <cfRule type="cellIs" dxfId="18" priority="2" operator="equal">
      <formula>"Partial"</formula>
    </cfRule>
    <cfRule type="cellIs" dxfId="17" priority="3" operator="equal">
      <formula>"Incorrect"</formula>
    </cfRule>
    <cfRule type="cellIs" dxfId="16" priority="4" operator="equal">
      <formula>"Hallucinated"</formula>
    </cfRule>
    <cfRule type="cellIs" dxfId="15" priority="5" operator="equal">
      <formula>"Missing"</formula>
    </cfRule>
  </conditionalFormatting>
  <conditionalFormatting sqref="D5:D6">
    <cfRule type="cellIs" dxfId="14" priority="6" operator="equal">
      <formula>"Correct"</formula>
    </cfRule>
    <cfRule type="cellIs" dxfId="13" priority="7" operator="equal">
      <formula>"Partial"</formula>
    </cfRule>
    <cfRule type="cellIs" dxfId="12" priority="8" operator="equal">
      <formula>"Incorrect"</formula>
    </cfRule>
    <cfRule type="cellIs" dxfId="11" priority="9" operator="equal">
      <formula>"Hallucinated"</formula>
    </cfRule>
    <cfRule type="cellIs" dxfId="10" priority="10" operator="equal">
      <formula>"Missing"</formula>
    </cfRule>
  </conditionalFormatting>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08"/>
  <sheetViews>
    <sheetView workbookViewId="0">
      <pane ySplit="1" topLeftCell="A2" activePane="bottomLeft" state="frozen"/>
      <selection pane="bottomLeft"/>
    </sheetView>
  </sheetViews>
  <sheetFormatPr defaultColWidth="14.42578125" defaultRowHeight="15" customHeight="1" x14ac:dyDescent="0.25"/>
  <cols>
    <col min="1" max="1" width="34" customWidth="1"/>
    <col min="2" max="2" width="95" customWidth="1"/>
    <col min="3" max="3" width="62.28515625" customWidth="1"/>
    <col min="4" max="4" width="30.42578125" customWidth="1"/>
    <col min="5" max="5" width="76.28515625" customWidth="1"/>
    <col min="6" max="26" width="8.5703125" customWidth="1"/>
  </cols>
  <sheetData>
    <row r="1" spans="1:5" ht="15" customHeight="1" x14ac:dyDescent="0.25">
      <c r="A1" s="20" t="s">
        <v>0</v>
      </c>
      <c r="B1" s="24" t="s">
        <v>224</v>
      </c>
      <c r="C1" s="20" t="s">
        <v>353</v>
      </c>
      <c r="D1" s="24" t="s">
        <v>354</v>
      </c>
      <c r="E1" s="20" t="s">
        <v>355</v>
      </c>
    </row>
    <row r="2" spans="1:5" ht="14.25" customHeight="1" x14ac:dyDescent="0.25">
      <c r="A2" s="21" t="s">
        <v>226</v>
      </c>
      <c r="B2" s="22" t="s">
        <v>362</v>
      </c>
      <c r="C2" s="22" t="s">
        <v>47</v>
      </c>
      <c r="D2" s="25" t="s">
        <v>358</v>
      </c>
      <c r="E2" s="22" t="s">
        <v>360</v>
      </c>
    </row>
    <row r="3" spans="1:5" ht="14.25" customHeight="1" x14ac:dyDescent="0.25">
      <c r="A3" s="21" t="s">
        <v>227</v>
      </c>
      <c r="B3" s="22" t="s">
        <v>49</v>
      </c>
      <c r="C3" s="22" t="s">
        <v>49</v>
      </c>
      <c r="D3" s="21" t="s">
        <v>356</v>
      </c>
      <c r="E3" s="22"/>
    </row>
    <row r="4" spans="1:5" ht="14.25" customHeight="1" x14ac:dyDescent="0.25">
      <c r="A4" s="21" t="s">
        <v>36</v>
      </c>
      <c r="B4" s="22"/>
      <c r="C4" s="22"/>
      <c r="D4" s="21" t="s">
        <v>356</v>
      </c>
      <c r="E4" s="22" t="s">
        <v>363</v>
      </c>
    </row>
    <row r="5" spans="1:5" ht="14.25" customHeight="1" x14ac:dyDescent="0.25">
      <c r="A5" s="21" t="s">
        <v>34</v>
      </c>
      <c r="B5" s="22"/>
      <c r="C5" s="22" t="s">
        <v>35</v>
      </c>
      <c r="D5" s="25" t="s">
        <v>358</v>
      </c>
      <c r="E5" s="22" t="s">
        <v>364</v>
      </c>
    </row>
    <row r="6" spans="1:5" ht="14.25" customHeight="1" x14ac:dyDescent="0.25">
      <c r="A6" s="21" t="s">
        <v>23</v>
      </c>
      <c r="B6" s="22" t="s">
        <v>26</v>
      </c>
      <c r="C6" s="22" t="s">
        <v>24</v>
      </c>
      <c r="D6" s="25" t="s">
        <v>358</v>
      </c>
      <c r="E6" s="22" t="s">
        <v>365</v>
      </c>
    </row>
    <row r="7" spans="1:5" ht="14.25" customHeight="1" x14ac:dyDescent="0.25">
      <c r="A7" s="21" t="s">
        <v>240</v>
      </c>
      <c r="B7" s="22" t="s">
        <v>366</v>
      </c>
      <c r="C7" s="22" t="s">
        <v>100</v>
      </c>
      <c r="D7" s="25" t="s">
        <v>358</v>
      </c>
      <c r="E7" s="22" t="s">
        <v>360</v>
      </c>
    </row>
    <row r="8" spans="1:5" ht="14.25" customHeight="1" x14ac:dyDescent="0.25">
      <c r="A8" s="21" t="s">
        <v>241</v>
      </c>
      <c r="B8" s="22" t="s">
        <v>367</v>
      </c>
      <c r="C8" s="22" t="s">
        <v>22</v>
      </c>
      <c r="D8" s="25" t="s">
        <v>358</v>
      </c>
      <c r="E8" s="22" t="s">
        <v>368</v>
      </c>
    </row>
    <row r="9" spans="1:5" ht="14.25" customHeight="1" x14ac:dyDescent="0.25">
      <c r="A9" s="21" t="s">
        <v>242</v>
      </c>
      <c r="B9" s="22" t="s">
        <v>369</v>
      </c>
      <c r="C9" s="22" t="s">
        <v>28</v>
      </c>
      <c r="D9" s="25" t="s">
        <v>358</v>
      </c>
      <c r="E9" s="22" t="s">
        <v>368</v>
      </c>
    </row>
    <row r="10" spans="1:5" ht="14.25" customHeight="1" x14ac:dyDescent="0.25">
      <c r="A10" s="21" t="s">
        <v>243</v>
      </c>
      <c r="B10" s="22" t="s">
        <v>369</v>
      </c>
      <c r="C10" s="22" t="s">
        <v>28</v>
      </c>
      <c r="D10" s="25" t="s">
        <v>358</v>
      </c>
      <c r="E10" s="22" t="s">
        <v>368</v>
      </c>
    </row>
    <row r="11" spans="1:5" ht="14.25" customHeight="1" x14ac:dyDescent="0.25">
      <c r="A11" s="21" t="s">
        <v>237</v>
      </c>
      <c r="B11" s="22" t="s">
        <v>118</v>
      </c>
      <c r="C11" s="22" t="s">
        <v>16</v>
      </c>
      <c r="D11" s="21" t="s">
        <v>356</v>
      </c>
      <c r="E11" s="22"/>
    </row>
    <row r="12" spans="1:5" ht="14.25" customHeight="1" x14ac:dyDescent="0.25">
      <c r="A12" s="21" t="s">
        <v>238</v>
      </c>
      <c r="B12" s="22" t="s">
        <v>370</v>
      </c>
      <c r="C12" s="22" t="s">
        <v>85</v>
      </c>
      <c r="D12" s="25" t="s">
        <v>358</v>
      </c>
      <c r="E12" s="22" t="s">
        <v>368</v>
      </c>
    </row>
    <row r="13" spans="1:5" ht="14.25" customHeight="1" x14ac:dyDescent="0.25">
      <c r="A13" s="21" t="s">
        <v>371</v>
      </c>
      <c r="B13" s="22" t="s">
        <v>100</v>
      </c>
      <c r="C13" s="22"/>
      <c r="D13" s="25" t="s">
        <v>358</v>
      </c>
      <c r="E13" s="22" t="s">
        <v>359</v>
      </c>
    </row>
    <row r="14" spans="1:5" ht="14.25" customHeight="1" x14ac:dyDescent="0.25">
      <c r="A14" s="21" t="s">
        <v>372</v>
      </c>
      <c r="B14" s="22" t="s">
        <v>373</v>
      </c>
      <c r="C14" s="22"/>
      <c r="D14" s="25" t="s">
        <v>358</v>
      </c>
      <c r="E14" s="22" t="s">
        <v>359</v>
      </c>
    </row>
    <row r="15" spans="1:5" ht="14.25" customHeight="1" x14ac:dyDescent="0.25">
      <c r="A15" s="21" t="s">
        <v>252</v>
      </c>
      <c r="B15" s="22" t="s">
        <v>369</v>
      </c>
      <c r="C15" s="22" t="s">
        <v>28</v>
      </c>
      <c r="D15" s="25" t="s">
        <v>358</v>
      </c>
      <c r="E15" s="22" t="s">
        <v>368</v>
      </c>
    </row>
    <row r="16" spans="1:5" ht="14.25" customHeight="1" x14ac:dyDescent="0.25">
      <c r="A16" s="21" t="s">
        <v>253</v>
      </c>
      <c r="B16" s="22" t="s">
        <v>369</v>
      </c>
      <c r="C16" s="22" t="s">
        <v>28</v>
      </c>
      <c r="D16" s="25" t="s">
        <v>358</v>
      </c>
      <c r="E16" s="22" t="s">
        <v>368</v>
      </c>
    </row>
    <row r="17" spans="1:5" ht="14.25" customHeight="1" x14ac:dyDescent="0.25">
      <c r="A17" s="21" t="s">
        <v>249</v>
      </c>
      <c r="B17" s="22" t="s">
        <v>374</v>
      </c>
      <c r="C17" s="22" t="s">
        <v>74</v>
      </c>
      <c r="D17" s="25" t="s">
        <v>358</v>
      </c>
      <c r="E17" s="22" t="s">
        <v>375</v>
      </c>
    </row>
    <row r="18" spans="1:5" ht="14.25" customHeight="1" x14ac:dyDescent="0.25">
      <c r="A18" s="21" t="s">
        <v>250</v>
      </c>
      <c r="B18" s="22" t="s">
        <v>373</v>
      </c>
      <c r="C18" s="22" t="s">
        <v>85</v>
      </c>
      <c r="D18" s="25" t="s">
        <v>358</v>
      </c>
      <c r="E18" s="22" t="s">
        <v>368</v>
      </c>
    </row>
    <row r="19" spans="1:5" ht="14.25" customHeight="1" x14ac:dyDescent="0.25">
      <c r="A19" s="21" t="s">
        <v>19</v>
      </c>
      <c r="B19" s="22" t="s">
        <v>20</v>
      </c>
      <c r="C19" s="22" t="s">
        <v>20</v>
      </c>
      <c r="D19" s="21" t="s">
        <v>356</v>
      </c>
      <c r="E19" s="22"/>
    </row>
    <row r="20" spans="1:5" ht="14.25" customHeight="1" x14ac:dyDescent="0.25">
      <c r="A20" s="21" t="s">
        <v>21</v>
      </c>
      <c r="B20" s="22" t="s">
        <v>22</v>
      </c>
      <c r="C20" s="22" t="s">
        <v>22</v>
      </c>
      <c r="D20" s="21" t="s">
        <v>356</v>
      </c>
      <c r="E20" s="22"/>
    </row>
    <row r="21" spans="1:5" ht="14.25" customHeight="1" x14ac:dyDescent="0.25">
      <c r="A21" s="21" t="s">
        <v>27</v>
      </c>
      <c r="B21" s="22" t="s">
        <v>369</v>
      </c>
      <c r="C21" s="22" t="s">
        <v>28</v>
      </c>
      <c r="D21" s="25" t="s">
        <v>358</v>
      </c>
      <c r="E21" s="22" t="s">
        <v>368</v>
      </c>
    </row>
    <row r="22" spans="1:5" ht="14.25" customHeight="1" x14ac:dyDescent="0.25">
      <c r="A22" s="21" t="s">
        <v>31</v>
      </c>
      <c r="B22" s="22" t="s">
        <v>32</v>
      </c>
      <c r="C22" s="22" t="s">
        <v>32</v>
      </c>
      <c r="D22" s="21" t="s">
        <v>356</v>
      </c>
      <c r="E22" s="22"/>
    </row>
    <row r="23" spans="1:5" ht="14.25" customHeight="1" x14ac:dyDescent="0.25">
      <c r="A23" s="21" t="s">
        <v>25</v>
      </c>
      <c r="B23" s="22" t="s">
        <v>26</v>
      </c>
      <c r="C23" s="22" t="s">
        <v>26</v>
      </c>
      <c r="D23" s="21" t="s">
        <v>356</v>
      </c>
      <c r="E23" s="22"/>
    </row>
    <row r="24" spans="1:5" ht="14.25" customHeight="1" x14ac:dyDescent="0.25">
      <c r="A24" s="21" t="s">
        <v>15</v>
      </c>
      <c r="B24" s="22" t="s">
        <v>16</v>
      </c>
      <c r="C24" s="22" t="s">
        <v>16</v>
      </c>
      <c r="D24" s="21" t="s">
        <v>356</v>
      </c>
      <c r="E24" s="22"/>
    </row>
    <row r="25" spans="1:5" ht="14.25" customHeight="1" x14ac:dyDescent="0.25">
      <c r="A25" s="21" t="s">
        <v>225</v>
      </c>
      <c r="B25" s="22"/>
      <c r="C25" s="22" t="s">
        <v>40</v>
      </c>
      <c r="D25" s="26" t="s">
        <v>361</v>
      </c>
      <c r="E25" s="22"/>
    </row>
    <row r="26" spans="1:5" ht="14.25" customHeight="1" x14ac:dyDescent="0.25">
      <c r="A26" s="21" t="s">
        <v>226</v>
      </c>
      <c r="B26" s="22"/>
      <c r="C26" s="22" t="s">
        <v>47</v>
      </c>
      <c r="D26" s="26" t="s">
        <v>361</v>
      </c>
      <c r="E26" s="22"/>
    </row>
    <row r="27" spans="1:5" ht="14.25" customHeight="1" x14ac:dyDescent="0.25">
      <c r="A27" s="21" t="s">
        <v>34</v>
      </c>
      <c r="B27" s="22"/>
      <c r="C27" s="22" t="s">
        <v>35</v>
      </c>
      <c r="D27" s="26" t="s">
        <v>361</v>
      </c>
      <c r="E27" s="22"/>
    </row>
    <row r="28" spans="1:5" ht="14.25" customHeight="1" x14ac:dyDescent="0.25">
      <c r="A28" s="21" t="s">
        <v>228</v>
      </c>
      <c r="B28" s="22"/>
      <c r="C28" s="22" t="s">
        <v>35</v>
      </c>
      <c r="D28" s="26" t="s">
        <v>361</v>
      </c>
      <c r="E28" s="22"/>
    </row>
    <row r="29" spans="1:5" ht="14.25" customHeight="1" x14ac:dyDescent="0.25">
      <c r="A29" s="21" t="s">
        <v>229</v>
      </c>
      <c r="B29" s="22"/>
      <c r="C29" s="22" t="s">
        <v>69</v>
      </c>
      <c r="D29" s="26" t="s">
        <v>361</v>
      </c>
      <c r="E29" s="22"/>
    </row>
    <row r="30" spans="1:5" ht="14.25" customHeight="1" x14ac:dyDescent="0.25">
      <c r="A30" s="21" t="s">
        <v>230</v>
      </c>
      <c r="B30" s="22"/>
      <c r="C30" s="22" t="s">
        <v>70</v>
      </c>
      <c r="D30" s="26" t="s">
        <v>361</v>
      </c>
      <c r="E30" s="22"/>
    </row>
    <row r="31" spans="1:5" ht="14.25" customHeight="1" x14ac:dyDescent="0.25">
      <c r="A31" s="21" t="s">
        <v>231</v>
      </c>
      <c r="B31" s="22"/>
      <c r="C31" s="22" t="s">
        <v>53</v>
      </c>
      <c r="D31" s="26" t="s">
        <v>361</v>
      </c>
      <c r="E31" s="22"/>
    </row>
    <row r="32" spans="1:5" ht="14.25" customHeight="1" x14ac:dyDescent="0.25">
      <c r="A32" s="21" t="s">
        <v>232</v>
      </c>
      <c r="B32" s="22"/>
      <c r="C32" s="22" t="s">
        <v>69</v>
      </c>
      <c r="D32" s="26" t="s">
        <v>361</v>
      </c>
      <c r="E32" s="22"/>
    </row>
    <row r="33" spans="1:5" ht="14.25" customHeight="1" x14ac:dyDescent="0.25">
      <c r="A33" s="21" t="s">
        <v>233</v>
      </c>
      <c r="B33" s="22"/>
      <c r="C33" s="22" t="s">
        <v>54</v>
      </c>
      <c r="D33" s="26" t="s">
        <v>361</v>
      </c>
      <c r="E33" s="22"/>
    </row>
    <row r="34" spans="1:5" ht="14.25" customHeight="1" x14ac:dyDescent="0.25">
      <c r="A34" s="21" t="s">
        <v>234</v>
      </c>
      <c r="B34" s="22"/>
      <c r="C34" s="22" t="s">
        <v>70</v>
      </c>
      <c r="D34" s="26" t="s">
        <v>361</v>
      </c>
      <c r="E34" s="22"/>
    </row>
    <row r="35" spans="1:5" ht="14.25" customHeight="1" x14ac:dyDescent="0.25">
      <c r="A35" s="21" t="s">
        <v>235</v>
      </c>
      <c r="B35" s="22"/>
      <c r="C35" s="22" t="s">
        <v>55</v>
      </c>
      <c r="D35" s="26" t="s">
        <v>361</v>
      </c>
      <c r="E35" s="22"/>
    </row>
    <row r="36" spans="1:5" ht="14.25" customHeight="1" x14ac:dyDescent="0.25">
      <c r="A36" s="21" t="s">
        <v>236</v>
      </c>
      <c r="B36" s="22"/>
      <c r="C36" s="22" t="s">
        <v>70</v>
      </c>
      <c r="D36" s="26" t="s">
        <v>361</v>
      </c>
      <c r="E36" s="22"/>
    </row>
    <row r="37" spans="1:5" ht="14.25" customHeight="1" x14ac:dyDescent="0.25">
      <c r="A37" s="21" t="s">
        <v>23</v>
      </c>
      <c r="B37" s="22"/>
      <c r="C37" s="22" t="s">
        <v>24</v>
      </c>
      <c r="D37" s="26" t="s">
        <v>361</v>
      </c>
      <c r="E37" s="22"/>
    </row>
    <row r="38" spans="1:5" ht="14.25" customHeight="1" x14ac:dyDescent="0.25">
      <c r="A38" s="21" t="s">
        <v>240</v>
      </c>
      <c r="B38" s="22"/>
      <c r="C38" s="22" t="s">
        <v>100</v>
      </c>
      <c r="D38" s="26" t="s">
        <v>361</v>
      </c>
      <c r="E38" s="22"/>
    </row>
    <row r="39" spans="1:5" ht="14.25" customHeight="1" x14ac:dyDescent="0.25">
      <c r="A39" s="21" t="s">
        <v>241</v>
      </c>
      <c r="B39" s="22"/>
      <c r="C39" s="22" t="s">
        <v>22</v>
      </c>
      <c r="D39" s="26" t="s">
        <v>361</v>
      </c>
      <c r="E39" s="22"/>
    </row>
    <row r="40" spans="1:5" ht="14.25" customHeight="1" x14ac:dyDescent="0.25">
      <c r="A40" s="21" t="s">
        <v>239</v>
      </c>
      <c r="B40" s="22"/>
      <c r="C40" s="22" t="s">
        <v>87</v>
      </c>
      <c r="D40" s="26" t="s">
        <v>361</v>
      </c>
      <c r="E40" s="22"/>
    </row>
    <row r="41" spans="1:5" ht="14.25" customHeight="1" x14ac:dyDescent="0.25">
      <c r="A41" s="21" t="s">
        <v>245</v>
      </c>
      <c r="B41" s="22"/>
      <c r="C41" s="22" t="s">
        <v>124</v>
      </c>
      <c r="D41" s="26" t="s">
        <v>361</v>
      </c>
      <c r="E41" s="22"/>
    </row>
    <row r="42" spans="1:5" ht="14.25" customHeight="1" x14ac:dyDescent="0.25">
      <c r="A42" s="21" t="s">
        <v>247</v>
      </c>
      <c r="B42" s="22"/>
      <c r="C42" s="22" t="s">
        <v>132</v>
      </c>
      <c r="D42" s="26" t="s">
        <v>361</v>
      </c>
      <c r="E42" s="22"/>
    </row>
    <row r="43" spans="1:5" ht="14.25" customHeight="1" x14ac:dyDescent="0.25">
      <c r="A43" s="21" t="s">
        <v>248</v>
      </c>
      <c r="B43" s="22"/>
      <c r="C43" s="22" t="s">
        <v>138</v>
      </c>
      <c r="D43" s="26" t="s">
        <v>361</v>
      </c>
      <c r="E43" s="22"/>
    </row>
    <row r="44" spans="1:5" ht="14.25" customHeight="1" x14ac:dyDescent="0.25">
      <c r="A44" s="21" t="s">
        <v>246</v>
      </c>
      <c r="B44" s="22"/>
      <c r="C44" s="22" t="s">
        <v>128</v>
      </c>
      <c r="D44" s="26" t="s">
        <v>361</v>
      </c>
      <c r="E44" s="22"/>
    </row>
    <row r="45" spans="1:5" ht="14.25" customHeight="1" x14ac:dyDescent="0.25">
      <c r="A45" s="21" t="s">
        <v>244</v>
      </c>
      <c r="B45" s="22"/>
      <c r="C45" s="22" t="s">
        <v>118</v>
      </c>
      <c r="D45" s="26" t="s">
        <v>361</v>
      </c>
      <c r="E45" s="22"/>
    </row>
    <row r="46" spans="1:5" ht="14.25" customHeight="1" x14ac:dyDescent="0.25">
      <c r="A46" s="21" t="s">
        <v>242</v>
      </c>
      <c r="B46" s="22"/>
      <c r="C46" s="22" t="s">
        <v>28</v>
      </c>
      <c r="D46" s="26" t="s">
        <v>361</v>
      </c>
      <c r="E46" s="22"/>
    </row>
    <row r="47" spans="1:5" ht="14.25" customHeight="1" x14ac:dyDescent="0.25">
      <c r="A47" s="21" t="s">
        <v>243</v>
      </c>
      <c r="B47" s="22"/>
      <c r="C47" s="22" t="s">
        <v>28</v>
      </c>
      <c r="D47" s="26" t="s">
        <v>361</v>
      </c>
      <c r="E47" s="22"/>
    </row>
    <row r="48" spans="1:5" ht="14.25" customHeight="1" x14ac:dyDescent="0.25">
      <c r="A48" s="21" t="s">
        <v>238</v>
      </c>
      <c r="B48" s="22"/>
      <c r="C48" s="22" t="s">
        <v>85</v>
      </c>
      <c r="D48" s="26" t="s">
        <v>361</v>
      </c>
      <c r="E48" s="22"/>
    </row>
    <row r="49" spans="1:5" ht="14.25" customHeight="1" x14ac:dyDescent="0.25">
      <c r="A49" s="21" t="s">
        <v>340</v>
      </c>
      <c r="B49" s="22"/>
      <c r="C49" s="22" t="s">
        <v>97</v>
      </c>
      <c r="D49" s="26" t="s">
        <v>361</v>
      </c>
      <c r="E49" s="22"/>
    </row>
    <row r="50" spans="1:5" ht="14.25" customHeight="1" x14ac:dyDescent="0.25">
      <c r="A50" s="21" t="s">
        <v>344</v>
      </c>
      <c r="B50" s="22"/>
      <c r="C50" s="22" t="s">
        <v>124</v>
      </c>
      <c r="D50" s="26" t="s">
        <v>361</v>
      </c>
      <c r="E50" s="22"/>
    </row>
    <row r="51" spans="1:5" ht="14.25" customHeight="1" x14ac:dyDescent="0.25">
      <c r="A51" s="21" t="s">
        <v>345</v>
      </c>
      <c r="B51" s="22"/>
      <c r="C51" s="22" t="s">
        <v>136</v>
      </c>
      <c r="D51" s="26" t="s">
        <v>361</v>
      </c>
      <c r="E51" s="22"/>
    </row>
    <row r="52" spans="1:5" ht="14.25" customHeight="1" x14ac:dyDescent="0.25">
      <c r="A52" s="21" t="s">
        <v>343</v>
      </c>
      <c r="B52" s="22"/>
      <c r="C52" s="22" t="s">
        <v>32</v>
      </c>
      <c r="D52" s="26" t="s">
        <v>361</v>
      </c>
      <c r="E52" s="22"/>
    </row>
    <row r="53" spans="1:5" ht="14.25" customHeight="1" x14ac:dyDescent="0.25">
      <c r="A53" s="21" t="s">
        <v>341</v>
      </c>
      <c r="B53" s="22"/>
      <c r="C53" s="22" t="s">
        <v>28</v>
      </c>
      <c r="D53" s="26" t="s">
        <v>361</v>
      </c>
      <c r="E53" s="22"/>
    </row>
    <row r="54" spans="1:5" ht="14.25" customHeight="1" x14ac:dyDescent="0.25">
      <c r="A54" s="21" t="s">
        <v>342</v>
      </c>
      <c r="B54" s="22"/>
      <c r="C54" s="22" t="s">
        <v>28</v>
      </c>
      <c r="D54" s="26" t="s">
        <v>361</v>
      </c>
      <c r="E54" s="22"/>
    </row>
    <row r="55" spans="1:5" ht="14.25" customHeight="1" x14ac:dyDescent="0.25">
      <c r="A55" s="21" t="s">
        <v>338</v>
      </c>
      <c r="B55" s="22"/>
      <c r="C55" s="22" t="s">
        <v>83</v>
      </c>
      <c r="D55" s="26" t="s">
        <v>361</v>
      </c>
      <c r="E55" s="22"/>
    </row>
    <row r="56" spans="1:5" ht="14.25" customHeight="1" x14ac:dyDescent="0.25">
      <c r="A56" s="21" t="s">
        <v>339</v>
      </c>
      <c r="B56" s="22"/>
      <c r="C56" s="22" t="s">
        <v>85</v>
      </c>
      <c r="D56" s="26" t="s">
        <v>361</v>
      </c>
      <c r="E56" s="22"/>
    </row>
    <row r="57" spans="1:5" ht="14.25" customHeight="1" x14ac:dyDescent="0.25">
      <c r="A57" s="21" t="s">
        <v>251</v>
      </c>
      <c r="B57" s="22"/>
      <c r="C57" s="22" t="s">
        <v>88</v>
      </c>
      <c r="D57" s="26" t="s">
        <v>361</v>
      </c>
      <c r="E57" s="22"/>
    </row>
    <row r="58" spans="1:5" ht="14.25" customHeight="1" x14ac:dyDescent="0.25">
      <c r="A58" s="21" t="s">
        <v>256</v>
      </c>
      <c r="B58" s="22"/>
      <c r="C58" s="22" t="s">
        <v>124</v>
      </c>
      <c r="D58" s="26" t="s">
        <v>361</v>
      </c>
      <c r="E58" s="22"/>
    </row>
    <row r="59" spans="1:5" ht="14.25" customHeight="1" x14ac:dyDescent="0.25">
      <c r="A59" s="21" t="s">
        <v>258</v>
      </c>
      <c r="B59" s="22"/>
      <c r="C59" s="22" t="s">
        <v>133</v>
      </c>
      <c r="D59" s="26" t="s">
        <v>361</v>
      </c>
      <c r="E59" s="22"/>
    </row>
    <row r="60" spans="1:5" ht="14.25" customHeight="1" x14ac:dyDescent="0.25">
      <c r="A60" s="21" t="s">
        <v>257</v>
      </c>
      <c r="B60" s="22"/>
      <c r="C60" s="22" t="s">
        <v>128</v>
      </c>
      <c r="D60" s="26" t="s">
        <v>361</v>
      </c>
      <c r="E60" s="22"/>
    </row>
    <row r="61" spans="1:5" ht="14.25" customHeight="1" x14ac:dyDescent="0.25">
      <c r="A61" s="21" t="s">
        <v>254</v>
      </c>
      <c r="B61" s="22"/>
      <c r="C61" s="22" t="s">
        <v>32</v>
      </c>
      <c r="D61" s="26" t="s">
        <v>361</v>
      </c>
      <c r="E61" s="22"/>
    </row>
    <row r="62" spans="1:5" ht="14.25" customHeight="1" x14ac:dyDescent="0.25">
      <c r="A62" s="21" t="s">
        <v>255</v>
      </c>
      <c r="B62" s="22"/>
      <c r="C62" s="22" t="s">
        <v>112</v>
      </c>
      <c r="D62" s="26" t="s">
        <v>361</v>
      </c>
      <c r="E62" s="22"/>
    </row>
    <row r="63" spans="1:5" ht="14.25" customHeight="1" x14ac:dyDescent="0.25">
      <c r="A63" s="21" t="s">
        <v>252</v>
      </c>
      <c r="B63" s="22"/>
      <c r="C63" s="22" t="s">
        <v>28</v>
      </c>
      <c r="D63" s="26" t="s">
        <v>361</v>
      </c>
      <c r="E63" s="22"/>
    </row>
    <row r="64" spans="1:5" ht="14.25" customHeight="1" x14ac:dyDescent="0.25">
      <c r="A64" s="21" t="s">
        <v>253</v>
      </c>
      <c r="B64" s="22"/>
      <c r="C64" s="22" t="s">
        <v>28</v>
      </c>
      <c r="D64" s="26" t="s">
        <v>361</v>
      </c>
      <c r="E64" s="22"/>
    </row>
    <row r="65" spans="1:5" ht="14.25" customHeight="1" x14ac:dyDescent="0.25">
      <c r="A65" s="21" t="s">
        <v>249</v>
      </c>
      <c r="B65" s="22"/>
      <c r="C65" s="22" t="s">
        <v>74</v>
      </c>
      <c r="D65" s="26" t="s">
        <v>361</v>
      </c>
      <c r="E65" s="22"/>
    </row>
    <row r="66" spans="1:5" ht="14.25" customHeight="1" x14ac:dyDescent="0.25">
      <c r="A66" s="21" t="s">
        <v>250</v>
      </c>
      <c r="B66" s="22"/>
      <c r="C66" s="22" t="s">
        <v>85</v>
      </c>
      <c r="D66" s="26" t="s">
        <v>361</v>
      </c>
      <c r="E66" s="22"/>
    </row>
    <row r="67" spans="1:5" ht="14.25" customHeight="1" x14ac:dyDescent="0.25">
      <c r="A67" s="21" t="s">
        <v>261</v>
      </c>
      <c r="B67" s="22"/>
      <c r="C67" s="22" t="s">
        <v>89</v>
      </c>
      <c r="D67" s="26" t="s">
        <v>361</v>
      </c>
      <c r="E67" s="22"/>
    </row>
    <row r="68" spans="1:5" ht="14.25" customHeight="1" x14ac:dyDescent="0.25">
      <c r="A68" s="21" t="s">
        <v>265</v>
      </c>
      <c r="B68" s="22"/>
      <c r="C68" s="22" t="s">
        <v>124</v>
      </c>
      <c r="D68" s="26" t="s">
        <v>361</v>
      </c>
      <c r="E68" s="22"/>
    </row>
    <row r="69" spans="1:5" ht="14.25" customHeight="1" x14ac:dyDescent="0.25">
      <c r="A69" s="21" t="s">
        <v>267</v>
      </c>
      <c r="B69" s="22"/>
      <c r="C69" s="22" t="s">
        <v>133</v>
      </c>
      <c r="D69" s="26" t="s">
        <v>361</v>
      </c>
      <c r="E69" s="22"/>
    </row>
    <row r="70" spans="1:5" ht="14.25" customHeight="1" x14ac:dyDescent="0.25">
      <c r="A70" s="21" t="s">
        <v>266</v>
      </c>
      <c r="B70" s="22"/>
      <c r="C70" s="22" t="s">
        <v>128</v>
      </c>
      <c r="D70" s="26" t="s">
        <v>361</v>
      </c>
      <c r="E70" s="22"/>
    </row>
    <row r="71" spans="1:5" ht="14.25" customHeight="1" x14ac:dyDescent="0.25">
      <c r="A71" s="21" t="s">
        <v>264</v>
      </c>
      <c r="B71" s="22"/>
      <c r="C71" s="22" t="s">
        <v>32</v>
      </c>
      <c r="D71" s="26" t="s">
        <v>361</v>
      </c>
      <c r="E71" s="22"/>
    </row>
    <row r="72" spans="1:5" ht="14.25" customHeight="1" x14ac:dyDescent="0.25">
      <c r="A72" s="21" t="s">
        <v>262</v>
      </c>
      <c r="B72" s="22"/>
      <c r="C72" s="22" t="s">
        <v>28</v>
      </c>
      <c r="D72" s="26" t="s">
        <v>361</v>
      </c>
      <c r="E72" s="22"/>
    </row>
    <row r="73" spans="1:5" ht="14.25" customHeight="1" x14ac:dyDescent="0.25">
      <c r="A73" s="21" t="s">
        <v>263</v>
      </c>
      <c r="B73" s="22"/>
      <c r="C73" s="22" t="s">
        <v>28</v>
      </c>
      <c r="D73" s="26" t="s">
        <v>361</v>
      </c>
      <c r="E73" s="22"/>
    </row>
    <row r="74" spans="1:5" ht="14.25" customHeight="1" x14ac:dyDescent="0.25">
      <c r="A74" s="21" t="s">
        <v>259</v>
      </c>
      <c r="B74" s="22"/>
      <c r="C74" s="22" t="s">
        <v>75</v>
      </c>
      <c r="D74" s="26" t="s">
        <v>361</v>
      </c>
      <c r="E74" s="22"/>
    </row>
    <row r="75" spans="1:5" ht="14.25" customHeight="1" x14ac:dyDescent="0.25">
      <c r="A75" s="21" t="s">
        <v>260</v>
      </c>
      <c r="B75" s="22"/>
      <c r="C75" s="22" t="s">
        <v>85</v>
      </c>
      <c r="D75" s="26" t="s">
        <v>361</v>
      </c>
      <c r="E75" s="22"/>
    </row>
    <row r="76" spans="1:5" ht="14.25" customHeight="1" x14ac:dyDescent="0.25">
      <c r="A76" s="21" t="s">
        <v>270</v>
      </c>
      <c r="B76" s="22"/>
      <c r="C76" s="22" t="s">
        <v>90</v>
      </c>
      <c r="D76" s="26" t="s">
        <v>361</v>
      </c>
      <c r="E76" s="22"/>
    </row>
    <row r="77" spans="1:5" ht="14.25" customHeight="1" x14ac:dyDescent="0.25">
      <c r="A77" s="21" t="s">
        <v>274</v>
      </c>
      <c r="B77" s="22"/>
      <c r="C77" s="22" t="s">
        <v>124</v>
      </c>
      <c r="D77" s="26" t="s">
        <v>361</v>
      </c>
      <c r="E77" s="22"/>
    </row>
    <row r="78" spans="1:5" ht="14.25" customHeight="1" x14ac:dyDescent="0.25">
      <c r="A78" s="21" t="s">
        <v>275</v>
      </c>
      <c r="B78" s="22"/>
      <c r="C78" s="22" t="s">
        <v>128</v>
      </c>
      <c r="D78" s="26" t="s">
        <v>361</v>
      </c>
      <c r="E78" s="22"/>
    </row>
    <row r="79" spans="1:5" ht="14.25" customHeight="1" x14ac:dyDescent="0.25">
      <c r="A79" s="21" t="s">
        <v>273</v>
      </c>
      <c r="B79" s="22"/>
      <c r="C79" s="22" t="s">
        <v>32</v>
      </c>
      <c r="D79" s="26" t="s">
        <v>361</v>
      </c>
      <c r="E79" s="22"/>
    </row>
    <row r="80" spans="1:5" ht="14.25" customHeight="1" x14ac:dyDescent="0.25">
      <c r="A80" s="21" t="s">
        <v>271</v>
      </c>
      <c r="B80" s="22"/>
      <c r="C80" s="22" t="s">
        <v>28</v>
      </c>
      <c r="D80" s="26" t="s">
        <v>361</v>
      </c>
      <c r="E80" s="22"/>
    </row>
    <row r="81" spans="1:5" ht="14.25" customHeight="1" x14ac:dyDescent="0.25">
      <c r="A81" s="21" t="s">
        <v>272</v>
      </c>
      <c r="B81" s="22"/>
      <c r="C81" s="22" t="s">
        <v>28</v>
      </c>
      <c r="D81" s="26" t="s">
        <v>361</v>
      </c>
      <c r="E81" s="22"/>
    </row>
    <row r="82" spans="1:5" ht="14.25" customHeight="1" x14ac:dyDescent="0.25">
      <c r="A82" s="21" t="s">
        <v>268</v>
      </c>
      <c r="B82" s="22"/>
      <c r="C82" s="22" t="s">
        <v>76</v>
      </c>
      <c r="D82" s="26" t="s">
        <v>361</v>
      </c>
      <c r="E82" s="22"/>
    </row>
    <row r="83" spans="1:5" ht="14.25" customHeight="1" x14ac:dyDescent="0.25">
      <c r="A83" s="21" t="s">
        <v>269</v>
      </c>
      <c r="B83" s="22"/>
      <c r="C83" s="22" t="s">
        <v>85</v>
      </c>
      <c r="D83" s="26" t="s">
        <v>361</v>
      </c>
      <c r="E83" s="22"/>
    </row>
    <row r="84" spans="1:5" ht="14.25" customHeight="1" x14ac:dyDescent="0.25">
      <c r="A84" s="21" t="s">
        <v>278</v>
      </c>
      <c r="B84" s="22"/>
      <c r="C84" s="22" t="s">
        <v>91</v>
      </c>
      <c r="D84" s="26" t="s">
        <v>361</v>
      </c>
      <c r="E84" s="22"/>
    </row>
    <row r="85" spans="1:5" ht="14.25" customHeight="1" x14ac:dyDescent="0.25">
      <c r="A85" s="21" t="s">
        <v>283</v>
      </c>
      <c r="B85" s="22"/>
      <c r="C85" s="22" t="s">
        <v>124</v>
      </c>
      <c r="D85" s="26" t="s">
        <v>361</v>
      </c>
      <c r="E85" s="22"/>
    </row>
    <row r="86" spans="1:5" ht="14.25" customHeight="1" x14ac:dyDescent="0.25">
      <c r="A86" s="21" t="s">
        <v>285</v>
      </c>
      <c r="B86" s="22"/>
      <c r="C86" s="22" t="s">
        <v>133</v>
      </c>
      <c r="D86" s="26" t="s">
        <v>361</v>
      </c>
      <c r="E86" s="22"/>
    </row>
    <row r="87" spans="1:5" ht="14.25" customHeight="1" x14ac:dyDescent="0.25">
      <c r="A87" s="21" t="s">
        <v>284</v>
      </c>
      <c r="B87" s="22"/>
      <c r="C87" s="22" t="s">
        <v>128</v>
      </c>
      <c r="D87" s="26" t="s">
        <v>361</v>
      </c>
      <c r="E87" s="22"/>
    </row>
    <row r="88" spans="1:5" ht="14.25" customHeight="1" x14ac:dyDescent="0.25">
      <c r="A88" s="21" t="s">
        <v>281</v>
      </c>
      <c r="B88" s="22"/>
      <c r="C88" s="22" t="s">
        <v>32</v>
      </c>
      <c r="D88" s="26" t="s">
        <v>361</v>
      </c>
      <c r="E88" s="22"/>
    </row>
    <row r="89" spans="1:5" ht="14.25" customHeight="1" x14ac:dyDescent="0.25">
      <c r="A89" s="21" t="s">
        <v>282</v>
      </c>
      <c r="B89" s="22"/>
      <c r="C89" s="22" t="s">
        <v>112</v>
      </c>
      <c r="D89" s="26" t="s">
        <v>361</v>
      </c>
      <c r="E89" s="22"/>
    </row>
    <row r="90" spans="1:5" ht="14.25" customHeight="1" x14ac:dyDescent="0.25">
      <c r="A90" s="21" t="s">
        <v>279</v>
      </c>
      <c r="B90" s="22"/>
      <c r="C90" s="22" t="s">
        <v>28</v>
      </c>
      <c r="D90" s="26" t="s">
        <v>361</v>
      </c>
      <c r="E90" s="22"/>
    </row>
    <row r="91" spans="1:5" ht="14.25" customHeight="1" x14ac:dyDescent="0.25">
      <c r="A91" s="21" t="s">
        <v>280</v>
      </c>
      <c r="B91" s="22"/>
      <c r="C91" s="22" t="s">
        <v>28</v>
      </c>
      <c r="D91" s="26" t="s">
        <v>361</v>
      </c>
      <c r="E91" s="22"/>
    </row>
    <row r="92" spans="1:5" ht="14.25" customHeight="1" x14ac:dyDescent="0.25">
      <c r="A92" s="21" t="s">
        <v>276</v>
      </c>
      <c r="B92" s="22"/>
      <c r="C92" s="22" t="s">
        <v>77</v>
      </c>
      <c r="D92" s="26" t="s">
        <v>361</v>
      </c>
      <c r="E92" s="22"/>
    </row>
    <row r="93" spans="1:5" ht="14.25" customHeight="1" x14ac:dyDescent="0.25">
      <c r="A93" s="21" t="s">
        <v>277</v>
      </c>
      <c r="B93" s="22"/>
      <c r="C93" s="22" t="s">
        <v>85</v>
      </c>
      <c r="D93" s="26" t="s">
        <v>361</v>
      </c>
      <c r="E93" s="22"/>
    </row>
    <row r="94" spans="1:5" ht="14.25" customHeight="1" x14ac:dyDescent="0.25">
      <c r="A94" s="21" t="s">
        <v>288</v>
      </c>
      <c r="B94" s="22"/>
      <c r="C94" s="22" t="s">
        <v>92</v>
      </c>
      <c r="D94" s="26" t="s">
        <v>361</v>
      </c>
      <c r="E94" s="22"/>
    </row>
    <row r="95" spans="1:5" ht="14.25" customHeight="1" x14ac:dyDescent="0.25">
      <c r="A95" s="21" t="s">
        <v>292</v>
      </c>
      <c r="B95" s="22"/>
      <c r="C95" s="22" t="s">
        <v>124</v>
      </c>
      <c r="D95" s="26" t="s">
        <v>361</v>
      </c>
      <c r="E95" s="22"/>
    </row>
    <row r="96" spans="1:5" ht="14.25" customHeight="1" x14ac:dyDescent="0.25">
      <c r="A96" s="21" t="s">
        <v>293</v>
      </c>
      <c r="B96" s="22"/>
      <c r="C96" s="22" t="s">
        <v>128</v>
      </c>
      <c r="D96" s="26" t="s">
        <v>361</v>
      </c>
      <c r="E96" s="22"/>
    </row>
    <row r="97" spans="1:5" ht="14.25" customHeight="1" x14ac:dyDescent="0.25">
      <c r="A97" s="21" t="s">
        <v>291</v>
      </c>
      <c r="B97" s="22"/>
      <c r="C97" s="22" t="s">
        <v>32</v>
      </c>
      <c r="D97" s="26" t="s">
        <v>361</v>
      </c>
      <c r="E97" s="22"/>
    </row>
    <row r="98" spans="1:5" ht="14.25" customHeight="1" x14ac:dyDescent="0.25">
      <c r="A98" s="21" t="s">
        <v>289</v>
      </c>
      <c r="B98" s="22"/>
      <c r="C98" s="22" t="s">
        <v>28</v>
      </c>
      <c r="D98" s="26" t="s">
        <v>361</v>
      </c>
      <c r="E98" s="22"/>
    </row>
    <row r="99" spans="1:5" ht="14.25" customHeight="1" x14ac:dyDescent="0.25">
      <c r="A99" s="21" t="s">
        <v>290</v>
      </c>
      <c r="B99" s="22"/>
      <c r="C99" s="22" t="s">
        <v>28</v>
      </c>
      <c r="D99" s="26" t="s">
        <v>361</v>
      </c>
      <c r="E99" s="22"/>
    </row>
    <row r="100" spans="1:5" ht="14.25" customHeight="1" x14ac:dyDescent="0.25">
      <c r="A100" s="21" t="s">
        <v>286</v>
      </c>
      <c r="B100" s="22"/>
      <c r="C100" s="22" t="s">
        <v>78</v>
      </c>
      <c r="D100" s="26" t="s">
        <v>361</v>
      </c>
      <c r="E100" s="22"/>
    </row>
    <row r="101" spans="1:5" ht="14.25" customHeight="1" x14ac:dyDescent="0.25">
      <c r="A101" s="21" t="s">
        <v>287</v>
      </c>
      <c r="B101" s="22"/>
      <c r="C101" s="22" t="s">
        <v>85</v>
      </c>
      <c r="D101" s="26" t="s">
        <v>361</v>
      </c>
      <c r="E101" s="22"/>
    </row>
    <row r="102" spans="1:5" ht="14.25" customHeight="1" x14ac:dyDescent="0.25">
      <c r="A102" s="21" t="s">
        <v>296</v>
      </c>
      <c r="B102" s="22"/>
      <c r="C102" s="22" t="s">
        <v>93</v>
      </c>
      <c r="D102" s="26" t="s">
        <v>361</v>
      </c>
      <c r="E102" s="22"/>
    </row>
    <row r="103" spans="1:5" ht="14.25" customHeight="1" x14ac:dyDescent="0.25">
      <c r="A103" s="21" t="s">
        <v>304</v>
      </c>
      <c r="B103" s="22"/>
      <c r="C103" s="22" t="s">
        <v>124</v>
      </c>
      <c r="D103" s="26" t="s">
        <v>361</v>
      </c>
      <c r="E103" s="22"/>
    </row>
    <row r="104" spans="1:5" ht="14.25" customHeight="1" x14ac:dyDescent="0.25">
      <c r="A104" s="21" t="s">
        <v>306</v>
      </c>
      <c r="B104" s="22"/>
      <c r="C104" s="22" t="s">
        <v>134</v>
      </c>
      <c r="D104" s="26" t="s">
        <v>361</v>
      </c>
      <c r="E104" s="22"/>
    </row>
    <row r="105" spans="1:5" ht="14.25" customHeight="1" x14ac:dyDescent="0.25">
      <c r="A105" s="21" t="s">
        <v>303</v>
      </c>
      <c r="B105" s="22"/>
      <c r="C105" s="22" t="s">
        <v>121</v>
      </c>
      <c r="D105" s="26" t="s">
        <v>361</v>
      </c>
      <c r="E105" s="22"/>
    </row>
    <row r="106" spans="1:5" ht="14.25" customHeight="1" x14ac:dyDescent="0.25">
      <c r="A106" s="21" t="s">
        <v>305</v>
      </c>
      <c r="B106" s="22"/>
      <c r="C106" s="22" t="s">
        <v>128</v>
      </c>
      <c r="D106" s="26" t="s">
        <v>361</v>
      </c>
      <c r="E106" s="22"/>
    </row>
    <row r="107" spans="1:5" ht="14.25" customHeight="1" x14ac:dyDescent="0.25">
      <c r="A107" s="21" t="s">
        <v>299</v>
      </c>
      <c r="B107" s="22"/>
      <c r="C107" s="22" t="s">
        <v>32</v>
      </c>
      <c r="D107" s="26" t="s">
        <v>361</v>
      </c>
      <c r="E107" s="22"/>
    </row>
    <row r="108" spans="1:5" ht="14.25" customHeight="1" x14ac:dyDescent="0.25">
      <c r="A108" s="21" t="s">
        <v>300</v>
      </c>
      <c r="B108" s="22"/>
      <c r="C108" s="22" t="s">
        <v>301</v>
      </c>
      <c r="D108" s="26" t="s">
        <v>361</v>
      </c>
      <c r="E108" s="22"/>
    </row>
    <row r="109" spans="1:5" ht="14.25" customHeight="1" x14ac:dyDescent="0.25">
      <c r="A109" s="21" t="s">
        <v>302</v>
      </c>
      <c r="B109" s="22"/>
      <c r="C109" s="22" t="s">
        <v>112</v>
      </c>
      <c r="D109" s="26" t="s">
        <v>361</v>
      </c>
      <c r="E109" s="22"/>
    </row>
    <row r="110" spans="1:5" ht="14.25" customHeight="1" x14ac:dyDescent="0.25">
      <c r="A110" s="21" t="s">
        <v>297</v>
      </c>
      <c r="B110" s="22"/>
      <c r="C110" s="22" t="s">
        <v>28</v>
      </c>
      <c r="D110" s="26" t="s">
        <v>361</v>
      </c>
      <c r="E110" s="22"/>
    </row>
    <row r="111" spans="1:5" ht="14.25" customHeight="1" x14ac:dyDescent="0.25">
      <c r="A111" s="21" t="s">
        <v>298</v>
      </c>
      <c r="B111" s="22"/>
      <c r="C111" s="22" t="s">
        <v>28</v>
      </c>
      <c r="D111" s="26" t="s">
        <v>361</v>
      </c>
      <c r="E111" s="22"/>
    </row>
    <row r="112" spans="1:5" ht="14.25" customHeight="1" x14ac:dyDescent="0.25">
      <c r="A112" s="21" t="s">
        <v>294</v>
      </c>
      <c r="B112" s="22"/>
      <c r="C112" s="22" t="s">
        <v>79</v>
      </c>
      <c r="D112" s="26" t="s">
        <v>361</v>
      </c>
      <c r="E112" s="22"/>
    </row>
    <row r="113" spans="1:5" ht="14.25" customHeight="1" x14ac:dyDescent="0.25">
      <c r="A113" s="21" t="s">
        <v>295</v>
      </c>
      <c r="B113" s="22"/>
      <c r="C113" s="22" t="s">
        <v>85</v>
      </c>
      <c r="D113" s="26" t="s">
        <v>361</v>
      </c>
      <c r="E113" s="22"/>
    </row>
    <row r="114" spans="1:5" ht="14.25" customHeight="1" x14ac:dyDescent="0.25">
      <c r="A114" s="21" t="s">
        <v>309</v>
      </c>
      <c r="B114" s="22"/>
      <c r="C114" s="22" t="s">
        <v>94</v>
      </c>
      <c r="D114" s="26" t="s">
        <v>361</v>
      </c>
      <c r="E114" s="22"/>
    </row>
    <row r="115" spans="1:5" ht="14.25" customHeight="1" x14ac:dyDescent="0.25">
      <c r="A115" s="21" t="s">
        <v>314</v>
      </c>
      <c r="B115" s="22"/>
      <c r="C115" s="22" t="s">
        <v>124</v>
      </c>
      <c r="D115" s="26" t="s">
        <v>361</v>
      </c>
      <c r="E115" s="22"/>
    </row>
    <row r="116" spans="1:5" ht="14.25" customHeight="1" x14ac:dyDescent="0.25">
      <c r="A116" s="21" t="s">
        <v>316</v>
      </c>
      <c r="B116" s="22"/>
      <c r="C116" s="22" t="s">
        <v>133</v>
      </c>
      <c r="D116" s="26" t="s">
        <v>361</v>
      </c>
      <c r="E116" s="22"/>
    </row>
    <row r="117" spans="1:5" ht="14.25" customHeight="1" x14ac:dyDescent="0.25">
      <c r="A117" s="21" t="s">
        <v>313</v>
      </c>
      <c r="B117" s="22"/>
      <c r="C117" s="22" t="s">
        <v>122</v>
      </c>
      <c r="D117" s="26" t="s">
        <v>361</v>
      </c>
      <c r="E117" s="22"/>
    </row>
    <row r="118" spans="1:5" ht="14.25" customHeight="1" x14ac:dyDescent="0.25">
      <c r="A118" s="21" t="s">
        <v>315</v>
      </c>
      <c r="B118" s="22"/>
      <c r="C118" s="22" t="s">
        <v>128</v>
      </c>
      <c r="D118" s="26" t="s">
        <v>361</v>
      </c>
      <c r="E118" s="22"/>
    </row>
    <row r="119" spans="1:5" ht="14.25" customHeight="1" x14ac:dyDescent="0.25">
      <c r="A119" s="21" t="s">
        <v>318</v>
      </c>
      <c r="B119" s="22"/>
      <c r="C119" s="22" t="s">
        <v>124</v>
      </c>
      <c r="D119" s="26" t="s">
        <v>361</v>
      </c>
      <c r="E119" s="22"/>
    </row>
    <row r="120" spans="1:5" ht="14.25" customHeight="1" x14ac:dyDescent="0.25">
      <c r="A120" s="21" t="s">
        <v>320</v>
      </c>
      <c r="B120" s="22"/>
      <c r="C120" s="22" t="s">
        <v>136</v>
      </c>
      <c r="D120" s="26" t="s">
        <v>361</v>
      </c>
      <c r="E120" s="22"/>
    </row>
    <row r="121" spans="1:5" ht="14.25" customHeight="1" x14ac:dyDescent="0.25">
      <c r="A121" s="21" t="s">
        <v>317</v>
      </c>
      <c r="B121" s="22"/>
      <c r="C121" s="22" t="s">
        <v>122</v>
      </c>
      <c r="D121" s="26" t="s">
        <v>361</v>
      </c>
      <c r="E121" s="22"/>
    </row>
    <row r="122" spans="1:5" ht="14.25" customHeight="1" x14ac:dyDescent="0.25">
      <c r="A122" s="21" t="s">
        <v>319</v>
      </c>
      <c r="B122" s="22"/>
      <c r="C122" s="22" t="s">
        <v>128</v>
      </c>
      <c r="D122" s="26" t="s">
        <v>361</v>
      </c>
      <c r="E122" s="22"/>
    </row>
    <row r="123" spans="1:5" ht="14.25" customHeight="1" x14ac:dyDescent="0.25">
      <c r="A123" s="21" t="s">
        <v>312</v>
      </c>
      <c r="B123" s="22"/>
      <c r="C123" s="22" t="s">
        <v>32</v>
      </c>
      <c r="D123" s="26" t="s">
        <v>361</v>
      </c>
      <c r="E123" s="22"/>
    </row>
    <row r="124" spans="1:5" ht="14.25" customHeight="1" x14ac:dyDescent="0.25">
      <c r="A124" s="21" t="s">
        <v>310</v>
      </c>
      <c r="B124" s="22"/>
      <c r="C124" s="22" t="s">
        <v>28</v>
      </c>
      <c r="D124" s="26" t="s">
        <v>361</v>
      </c>
      <c r="E124" s="22"/>
    </row>
    <row r="125" spans="1:5" ht="14.25" customHeight="1" x14ac:dyDescent="0.25">
      <c r="A125" s="21" t="s">
        <v>311</v>
      </c>
      <c r="B125" s="22"/>
      <c r="C125" s="22" t="s">
        <v>28</v>
      </c>
      <c r="D125" s="26" t="s">
        <v>361</v>
      </c>
      <c r="E125" s="22"/>
    </row>
    <row r="126" spans="1:5" ht="14.25" customHeight="1" x14ac:dyDescent="0.25">
      <c r="A126" s="21" t="s">
        <v>307</v>
      </c>
      <c r="B126" s="22"/>
      <c r="C126" s="22" t="s">
        <v>80</v>
      </c>
      <c r="D126" s="26" t="s">
        <v>361</v>
      </c>
      <c r="E126" s="22"/>
    </row>
    <row r="127" spans="1:5" ht="14.25" customHeight="1" x14ac:dyDescent="0.25">
      <c r="A127" s="21" t="s">
        <v>308</v>
      </c>
      <c r="B127" s="22"/>
      <c r="C127" s="22" t="s">
        <v>85</v>
      </c>
      <c r="D127" s="26" t="s">
        <v>361</v>
      </c>
      <c r="E127" s="22"/>
    </row>
    <row r="128" spans="1:5" ht="14.25" customHeight="1" x14ac:dyDescent="0.25">
      <c r="A128" s="21" t="s">
        <v>323</v>
      </c>
      <c r="B128" s="22"/>
      <c r="C128" s="22" t="s">
        <v>95</v>
      </c>
      <c r="D128" s="26" t="s">
        <v>361</v>
      </c>
      <c r="E128" s="22"/>
    </row>
    <row r="129" spans="1:5" ht="14.25" customHeight="1" x14ac:dyDescent="0.25">
      <c r="A129" s="21" t="s">
        <v>327</v>
      </c>
      <c r="B129" s="22"/>
      <c r="C129" s="22" t="s">
        <v>124</v>
      </c>
      <c r="D129" s="26" t="s">
        <v>361</v>
      </c>
      <c r="E129" s="22"/>
    </row>
    <row r="130" spans="1:5" ht="14.25" customHeight="1" x14ac:dyDescent="0.25">
      <c r="A130" s="21" t="s">
        <v>329</v>
      </c>
      <c r="B130" s="22"/>
      <c r="C130" s="22" t="s">
        <v>133</v>
      </c>
      <c r="D130" s="26" t="s">
        <v>361</v>
      </c>
      <c r="E130" s="22"/>
    </row>
    <row r="131" spans="1:5" ht="14.25" customHeight="1" x14ac:dyDescent="0.25">
      <c r="A131" s="21" t="s">
        <v>328</v>
      </c>
      <c r="B131" s="22"/>
      <c r="C131" s="22" t="s">
        <v>128</v>
      </c>
      <c r="D131" s="26" t="s">
        <v>361</v>
      </c>
      <c r="E131" s="22"/>
    </row>
    <row r="132" spans="1:5" ht="14.25" customHeight="1" x14ac:dyDescent="0.25">
      <c r="A132" s="21" t="s">
        <v>326</v>
      </c>
      <c r="B132" s="22"/>
      <c r="C132" s="22" t="s">
        <v>32</v>
      </c>
      <c r="D132" s="26" t="s">
        <v>361</v>
      </c>
      <c r="E132" s="22"/>
    </row>
    <row r="133" spans="1:5" ht="14.25" customHeight="1" x14ac:dyDescent="0.25">
      <c r="A133" s="21" t="s">
        <v>324</v>
      </c>
      <c r="B133" s="22"/>
      <c r="C133" s="22" t="s">
        <v>28</v>
      </c>
      <c r="D133" s="26" t="s">
        <v>361</v>
      </c>
      <c r="E133" s="22"/>
    </row>
    <row r="134" spans="1:5" ht="14.25" customHeight="1" x14ac:dyDescent="0.25">
      <c r="A134" s="21" t="s">
        <v>325</v>
      </c>
      <c r="B134" s="22"/>
      <c r="C134" s="22" t="s">
        <v>28</v>
      </c>
      <c r="D134" s="26" t="s">
        <v>361</v>
      </c>
      <c r="E134" s="22"/>
    </row>
    <row r="135" spans="1:5" ht="14.25" customHeight="1" x14ac:dyDescent="0.25">
      <c r="A135" s="21" t="s">
        <v>321</v>
      </c>
      <c r="B135" s="22"/>
      <c r="C135" s="22" t="s">
        <v>81</v>
      </c>
      <c r="D135" s="26" t="s">
        <v>361</v>
      </c>
      <c r="E135" s="22"/>
    </row>
    <row r="136" spans="1:5" ht="14.25" customHeight="1" x14ac:dyDescent="0.25">
      <c r="A136" s="21" t="s">
        <v>322</v>
      </c>
      <c r="B136" s="22"/>
      <c r="C136" s="22" t="s">
        <v>85</v>
      </c>
      <c r="D136" s="26" t="s">
        <v>361</v>
      </c>
      <c r="E136" s="22"/>
    </row>
    <row r="137" spans="1:5" ht="14.25" customHeight="1" x14ac:dyDescent="0.25">
      <c r="A137" s="21" t="s">
        <v>332</v>
      </c>
      <c r="B137" s="22"/>
      <c r="C137" s="22" t="s">
        <v>96</v>
      </c>
      <c r="D137" s="26" t="s">
        <v>361</v>
      </c>
      <c r="E137" s="22"/>
    </row>
    <row r="138" spans="1:5" ht="14.25" customHeight="1" x14ac:dyDescent="0.25">
      <c r="A138" s="21" t="s">
        <v>336</v>
      </c>
      <c r="B138" s="22"/>
      <c r="C138" s="22" t="s">
        <v>124</v>
      </c>
      <c r="D138" s="26" t="s">
        <v>361</v>
      </c>
      <c r="E138" s="22"/>
    </row>
    <row r="139" spans="1:5" ht="14.25" customHeight="1" x14ac:dyDescent="0.25">
      <c r="A139" s="21" t="s">
        <v>337</v>
      </c>
      <c r="B139" s="22"/>
      <c r="C139" s="22" t="s">
        <v>136</v>
      </c>
      <c r="D139" s="26" t="s">
        <v>361</v>
      </c>
      <c r="E139" s="22"/>
    </row>
    <row r="140" spans="1:5" ht="14.25" customHeight="1" x14ac:dyDescent="0.25">
      <c r="A140" s="21" t="s">
        <v>335</v>
      </c>
      <c r="B140" s="22"/>
      <c r="C140" s="22" t="s">
        <v>32</v>
      </c>
      <c r="D140" s="26" t="s">
        <v>361</v>
      </c>
      <c r="E140" s="22"/>
    </row>
    <row r="141" spans="1:5" ht="14.25" customHeight="1" x14ac:dyDescent="0.25">
      <c r="A141" s="21" t="s">
        <v>333</v>
      </c>
      <c r="B141" s="22"/>
      <c r="C141" s="22" t="s">
        <v>28</v>
      </c>
      <c r="D141" s="26" t="s">
        <v>361</v>
      </c>
      <c r="E141" s="22"/>
    </row>
    <row r="142" spans="1:5" ht="14.25" customHeight="1" x14ac:dyDescent="0.25">
      <c r="A142" s="21" t="s">
        <v>334</v>
      </c>
      <c r="B142" s="22"/>
      <c r="C142" s="22" t="s">
        <v>28</v>
      </c>
      <c r="D142" s="26" t="s">
        <v>361</v>
      </c>
      <c r="E142" s="22"/>
    </row>
    <row r="143" spans="1:5" ht="14.25" customHeight="1" x14ac:dyDescent="0.25">
      <c r="A143" s="21" t="s">
        <v>330</v>
      </c>
      <c r="B143" s="22"/>
      <c r="C143" s="22" t="s">
        <v>82</v>
      </c>
      <c r="D143" s="26" t="s">
        <v>361</v>
      </c>
      <c r="E143" s="22"/>
    </row>
    <row r="144" spans="1:5" ht="14.25" customHeight="1" x14ac:dyDescent="0.25">
      <c r="A144" s="21" t="s">
        <v>331</v>
      </c>
      <c r="B144" s="22"/>
      <c r="C144" s="22" t="s">
        <v>85</v>
      </c>
      <c r="D144" s="26" t="s">
        <v>361</v>
      </c>
      <c r="E144" s="22"/>
    </row>
    <row r="145" spans="1:5" ht="14.25" customHeight="1" x14ac:dyDescent="0.25">
      <c r="A145" s="21" t="s">
        <v>27</v>
      </c>
      <c r="B145" s="22"/>
      <c r="C145" s="22" t="s">
        <v>28</v>
      </c>
      <c r="D145" s="26" t="s">
        <v>361</v>
      </c>
      <c r="E145" s="22"/>
    </row>
    <row r="146" spans="1:5" ht="14.25" customHeight="1" x14ac:dyDescent="0.25">
      <c r="A146" s="21" t="s">
        <v>348</v>
      </c>
      <c r="B146" s="22"/>
      <c r="C146" s="22" t="s">
        <v>158</v>
      </c>
      <c r="D146" s="26" t="s">
        <v>361</v>
      </c>
      <c r="E146" s="22"/>
    </row>
    <row r="147" spans="1:5" ht="14.25" customHeight="1" x14ac:dyDescent="0.25">
      <c r="A147" s="21" t="s">
        <v>350</v>
      </c>
      <c r="B147" s="22"/>
      <c r="C147" s="22" t="s">
        <v>166</v>
      </c>
      <c r="D147" s="26" t="s">
        <v>361</v>
      </c>
      <c r="E147" s="22"/>
    </row>
    <row r="148" spans="1:5" ht="14.25" customHeight="1" x14ac:dyDescent="0.25">
      <c r="A148" s="21" t="s">
        <v>351</v>
      </c>
      <c r="B148" s="22"/>
      <c r="C148" s="22" t="s">
        <v>170</v>
      </c>
      <c r="D148" s="26" t="s">
        <v>361</v>
      </c>
      <c r="E148" s="22"/>
    </row>
    <row r="149" spans="1:5" ht="14.25" customHeight="1" x14ac:dyDescent="0.25">
      <c r="A149" s="21" t="s">
        <v>349</v>
      </c>
      <c r="B149" s="22"/>
      <c r="C149" s="22" t="s">
        <v>164</v>
      </c>
      <c r="D149" s="26" t="s">
        <v>361</v>
      </c>
      <c r="E149" s="22"/>
    </row>
    <row r="150" spans="1:5" ht="14.25" customHeight="1" x14ac:dyDescent="0.25">
      <c r="A150" s="21" t="s">
        <v>347</v>
      </c>
      <c r="B150" s="22"/>
      <c r="C150" s="22" t="s">
        <v>118</v>
      </c>
      <c r="D150" s="26" t="s">
        <v>361</v>
      </c>
      <c r="E150" s="22"/>
    </row>
    <row r="151" spans="1:5" ht="14.25" customHeight="1" x14ac:dyDescent="0.25">
      <c r="A151" s="21" t="s">
        <v>346</v>
      </c>
      <c r="B151" s="22"/>
      <c r="C151" s="22" t="s">
        <v>146</v>
      </c>
      <c r="D151" s="26" t="s">
        <v>361</v>
      </c>
      <c r="E151" s="22"/>
    </row>
    <row r="152" spans="1:5" ht="14.25" customHeight="1" x14ac:dyDescent="0.25"/>
    <row r="153" spans="1:5" ht="14.25" customHeight="1" x14ac:dyDescent="0.25"/>
    <row r="154" spans="1:5" ht="14.25" customHeight="1" x14ac:dyDescent="0.25"/>
    <row r="155" spans="1:5" ht="14.25" customHeight="1" x14ac:dyDescent="0.25"/>
    <row r="156" spans="1:5" ht="14.25" customHeight="1" x14ac:dyDescent="0.25"/>
    <row r="157" spans="1:5" ht="14.25" customHeight="1" x14ac:dyDescent="0.25"/>
    <row r="158" spans="1:5" ht="14.25" customHeight="1" x14ac:dyDescent="0.25"/>
    <row r="159" spans="1:5" ht="14.25" customHeight="1" x14ac:dyDescent="0.25"/>
    <row r="160" spans="1:5"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sheetData>
  <conditionalFormatting sqref="D3:D4 D11 D19:D20 D22:D24">
    <cfRule type="cellIs" dxfId="9" priority="1" operator="equal">
      <formula>"Correct"</formula>
    </cfRule>
    <cfRule type="cellIs" dxfId="8" priority="2" operator="equal">
      <formula>"Partial"</formula>
    </cfRule>
    <cfRule type="cellIs" dxfId="7" priority="3" operator="equal">
      <formula>"Incorrect"</formula>
    </cfRule>
    <cfRule type="cellIs" dxfId="6" priority="4" operator="equal">
      <formula>"Hallucinated"</formula>
    </cfRule>
    <cfRule type="cellIs" dxfId="5" priority="5" operator="equal">
      <formula>"Missing"</formula>
    </cfRule>
  </conditionalFormatting>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45"/>
  <sheetViews>
    <sheetView workbookViewId="0">
      <pane ySplit="1" topLeftCell="A2" activePane="bottomLeft" state="frozen"/>
      <selection pane="bottomLeft"/>
    </sheetView>
  </sheetViews>
  <sheetFormatPr defaultColWidth="14.42578125" defaultRowHeight="15" customHeight="1" x14ac:dyDescent="0.25"/>
  <cols>
    <col min="1" max="1" width="51.7109375" customWidth="1"/>
    <col min="2" max="2" width="107.28515625" customWidth="1"/>
    <col min="3" max="3" width="51.85546875" customWidth="1"/>
    <col min="4" max="4" width="28.42578125" customWidth="1"/>
    <col min="5" max="5" width="80.7109375" customWidth="1"/>
    <col min="6" max="26" width="8.5703125" customWidth="1"/>
  </cols>
  <sheetData>
    <row r="1" spans="1:5" ht="15" customHeight="1" x14ac:dyDescent="0.25">
      <c r="A1" s="20" t="s">
        <v>0</v>
      </c>
      <c r="B1" s="24" t="s">
        <v>224</v>
      </c>
      <c r="C1" s="20" t="s">
        <v>353</v>
      </c>
      <c r="D1" s="24" t="s">
        <v>354</v>
      </c>
      <c r="E1" s="20" t="s">
        <v>355</v>
      </c>
    </row>
    <row r="2" spans="1:5" ht="14.25" customHeight="1" x14ac:dyDescent="0.25">
      <c r="A2" s="21" t="s">
        <v>376</v>
      </c>
      <c r="B2" s="22" t="s">
        <v>377</v>
      </c>
      <c r="C2" s="22"/>
      <c r="D2" s="25" t="s">
        <v>358</v>
      </c>
      <c r="E2" s="22" t="s">
        <v>359</v>
      </c>
    </row>
    <row r="3" spans="1:5" ht="14.25" customHeight="1" x14ac:dyDescent="0.25">
      <c r="A3" s="21" t="s">
        <v>378</v>
      </c>
      <c r="B3" s="22" t="s">
        <v>367</v>
      </c>
      <c r="C3" s="22"/>
      <c r="D3" s="25" t="s">
        <v>358</v>
      </c>
      <c r="E3" s="22" t="s">
        <v>359</v>
      </c>
    </row>
    <row r="4" spans="1:5" ht="14.25" customHeight="1" x14ac:dyDescent="0.25">
      <c r="A4" s="21" t="s">
        <v>225</v>
      </c>
      <c r="B4" s="22" t="s">
        <v>40</v>
      </c>
      <c r="C4" s="22" t="s">
        <v>40</v>
      </c>
      <c r="D4" s="21" t="s">
        <v>356</v>
      </c>
      <c r="E4" s="22"/>
    </row>
    <row r="5" spans="1:5" ht="14.25" customHeight="1" x14ac:dyDescent="0.25">
      <c r="A5" s="21" t="s">
        <v>226</v>
      </c>
      <c r="B5" s="22" t="s">
        <v>47</v>
      </c>
      <c r="C5" s="22" t="s">
        <v>47</v>
      </c>
      <c r="D5" s="21" t="s">
        <v>356</v>
      </c>
      <c r="E5" s="22"/>
    </row>
    <row r="6" spans="1:5" ht="14.25" customHeight="1" x14ac:dyDescent="0.25">
      <c r="A6" s="21" t="s">
        <v>227</v>
      </c>
      <c r="B6" s="22" t="s">
        <v>49</v>
      </c>
      <c r="C6" s="22" t="s">
        <v>49</v>
      </c>
      <c r="D6" s="21" t="s">
        <v>356</v>
      </c>
      <c r="E6" s="22"/>
    </row>
    <row r="7" spans="1:5" ht="14.25" customHeight="1" x14ac:dyDescent="0.25">
      <c r="A7" s="21" t="s">
        <v>36</v>
      </c>
      <c r="B7" s="22" t="s">
        <v>357</v>
      </c>
      <c r="C7" s="22"/>
      <c r="D7" s="25" t="s">
        <v>358</v>
      </c>
      <c r="E7" s="22" t="s">
        <v>359</v>
      </c>
    </row>
    <row r="8" spans="1:5" ht="14.25" customHeight="1" x14ac:dyDescent="0.25">
      <c r="A8" s="21" t="s">
        <v>34</v>
      </c>
      <c r="B8" s="22" t="s">
        <v>35</v>
      </c>
      <c r="C8" s="22" t="s">
        <v>35</v>
      </c>
      <c r="D8" s="21" t="s">
        <v>356</v>
      </c>
      <c r="E8" s="22"/>
    </row>
    <row r="9" spans="1:5" ht="14.25" customHeight="1" x14ac:dyDescent="0.25">
      <c r="A9" s="21" t="s">
        <v>23</v>
      </c>
      <c r="B9" s="22" t="s">
        <v>24</v>
      </c>
      <c r="C9" s="22" t="s">
        <v>24</v>
      </c>
      <c r="D9" s="21" t="s">
        <v>356</v>
      </c>
      <c r="E9" s="22"/>
    </row>
    <row r="10" spans="1:5" ht="14.25" customHeight="1" x14ac:dyDescent="0.25">
      <c r="A10" s="21" t="s">
        <v>240</v>
      </c>
      <c r="B10" s="22" t="s">
        <v>100</v>
      </c>
      <c r="C10" s="22" t="s">
        <v>100</v>
      </c>
      <c r="D10" s="21" t="s">
        <v>356</v>
      </c>
      <c r="E10" s="22"/>
    </row>
    <row r="11" spans="1:5" ht="14.25" customHeight="1" x14ac:dyDescent="0.25">
      <c r="A11" s="21" t="s">
        <v>241</v>
      </c>
      <c r="B11" s="22" t="s">
        <v>22</v>
      </c>
      <c r="C11" s="22" t="s">
        <v>22</v>
      </c>
      <c r="D11" s="21" t="s">
        <v>356</v>
      </c>
      <c r="E11" s="22"/>
    </row>
    <row r="12" spans="1:5" ht="14.25" customHeight="1" x14ac:dyDescent="0.25">
      <c r="A12" s="21" t="s">
        <v>239</v>
      </c>
      <c r="B12" s="22" t="s">
        <v>379</v>
      </c>
      <c r="C12" s="22" t="s">
        <v>87</v>
      </c>
      <c r="D12" s="25" t="s">
        <v>358</v>
      </c>
      <c r="E12" s="22" t="s">
        <v>380</v>
      </c>
    </row>
    <row r="13" spans="1:5" ht="14.25" customHeight="1" x14ac:dyDescent="0.25">
      <c r="A13" s="21" t="s">
        <v>245</v>
      </c>
      <c r="B13" s="22" t="s">
        <v>124</v>
      </c>
      <c r="C13" s="22" t="s">
        <v>124</v>
      </c>
      <c r="D13" s="21" t="s">
        <v>356</v>
      </c>
      <c r="E13" s="22"/>
    </row>
    <row r="14" spans="1:5" ht="14.25" customHeight="1" x14ac:dyDescent="0.25">
      <c r="A14" s="21" t="s">
        <v>381</v>
      </c>
      <c r="B14" s="22" t="s">
        <v>382</v>
      </c>
      <c r="C14" s="22"/>
      <c r="D14" s="25" t="s">
        <v>358</v>
      </c>
      <c r="E14" s="22" t="s">
        <v>359</v>
      </c>
    </row>
    <row r="15" spans="1:5" ht="17.25" customHeight="1" x14ac:dyDescent="0.25">
      <c r="A15" s="21" t="s">
        <v>246</v>
      </c>
      <c r="B15" s="22" t="s">
        <v>383</v>
      </c>
      <c r="C15" s="22" t="s">
        <v>128</v>
      </c>
      <c r="D15" s="21" t="s">
        <v>356</v>
      </c>
      <c r="E15" s="22"/>
    </row>
    <row r="16" spans="1:5" ht="14.25" customHeight="1" x14ac:dyDescent="0.25">
      <c r="A16" s="21" t="s">
        <v>384</v>
      </c>
      <c r="B16" s="22" t="s">
        <v>385</v>
      </c>
      <c r="C16" s="22"/>
      <c r="D16" s="25" t="s">
        <v>358</v>
      </c>
      <c r="E16" s="22" t="s">
        <v>359</v>
      </c>
    </row>
    <row r="17" spans="1:5" ht="14.25" customHeight="1" x14ac:dyDescent="0.25">
      <c r="A17" s="21" t="s">
        <v>244</v>
      </c>
      <c r="B17" s="22" t="s">
        <v>118</v>
      </c>
      <c r="C17" s="22" t="s">
        <v>118</v>
      </c>
      <c r="D17" s="21" t="s">
        <v>356</v>
      </c>
      <c r="E17" s="22"/>
    </row>
    <row r="18" spans="1:5" ht="14.25" customHeight="1" x14ac:dyDescent="0.25">
      <c r="A18" s="21" t="s">
        <v>242</v>
      </c>
      <c r="B18" s="22" t="s">
        <v>28</v>
      </c>
      <c r="C18" s="22" t="s">
        <v>28</v>
      </c>
      <c r="D18" s="21" t="s">
        <v>356</v>
      </c>
      <c r="E18" s="22"/>
    </row>
    <row r="19" spans="1:5" ht="14.25" customHeight="1" x14ac:dyDescent="0.25">
      <c r="A19" s="21" t="s">
        <v>243</v>
      </c>
      <c r="B19" s="22" t="s">
        <v>28</v>
      </c>
      <c r="C19" s="22" t="s">
        <v>28</v>
      </c>
      <c r="D19" s="21" t="s">
        <v>356</v>
      </c>
      <c r="E19" s="22"/>
    </row>
    <row r="20" spans="1:5" ht="14.25" customHeight="1" x14ac:dyDescent="0.25">
      <c r="A20" s="21" t="s">
        <v>237</v>
      </c>
      <c r="B20" s="22" t="s">
        <v>16</v>
      </c>
      <c r="C20" s="22" t="s">
        <v>16</v>
      </c>
      <c r="D20" s="21" t="s">
        <v>356</v>
      </c>
      <c r="E20" s="22"/>
    </row>
    <row r="21" spans="1:5" ht="14.25" customHeight="1" x14ac:dyDescent="0.25">
      <c r="A21" s="21" t="s">
        <v>371</v>
      </c>
      <c r="B21" s="22" t="s">
        <v>146</v>
      </c>
      <c r="C21" s="22"/>
      <c r="D21" s="25" t="s">
        <v>358</v>
      </c>
      <c r="E21" s="22" t="s">
        <v>359</v>
      </c>
    </row>
    <row r="22" spans="1:5" ht="14.25" customHeight="1" x14ac:dyDescent="0.25">
      <c r="A22" s="21" t="s">
        <v>372</v>
      </c>
      <c r="B22" s="22" t="s">
        <v>22</v>
      </c>
      <c r="C22" s="22"/>
      <c r="D22" s="25" t="s">
        <v>358</v>
      </c>
      <c r="E22" s="22" t="s">
        <v>359</v>
      </c>
    </row>
    <row r="23" spans="1:5" ht="14.25" customHeight="1" x14ac:dyDescent="0.25">
      <c r="A23" s="21" t="s">
        <v>251</v>
      </c>
      <c r="B23" s="22" t="s">
        <v>386</v>
      </c>
      <c r="C23" s="22" t="s">
        <v>89</v>
      </c>
      <c r="D23" s="21" t="s">
        <v>356</v>
      </c>
      <c r="E23" s="22"/>
    </row>
    <row r="24" spans="1:5" ht="14.25" customHeight="1" x14ac:dyDescent="0.25">
      <c r="A24" s="21" t="s">
        <v>252</v>
      </c>
      <c r="B24" s="22" t="s">
        <v>28</v>
      </c>
      <c r="C24" s="22" t="s">
        <v>28</v>
      </c>
      <c r="D24" s="21" t="s">
        <v>356</v>
      </c>
      <c r="E24" s="22"/>
    </row>
    <row r="25" spans="1:5" ht="14.25" customHeight="1" x14ac:dyDescent="0.25">
      <c r="A25" s="21" t="s">
        <v>253</v>
      </c>
      <c r="B25" s="22" t="s">
        <v>28</v>
      </c>
      <c r="C25" s="22" t="s">
        <v>28</v>
      </c>
      <c r="D25" s="21" t="s">
        <v>356</v>
      </c>
      <c r="E25" s="22"/>
    </row>
    <row r="26" spans="1:5" ht="14.25" customHeight="1" x14ac:dyDescent="0.25">
      <c r="A26" s="21" t="s">
        <v>249</v>
      </c>
      <c r="B26" s="22" t="s">
        <v>75</v>
      </c>
      <c r="C26" s="22" t="s">
        <v>75</v>
      </c>
      <c r="D26" s="21" t="s">
        <v>356</v>
      </c>
      <c r="E26" s="22"/>
    </row>
    <row r="27" spans="1:5" ht="14.25" customHeight="1" x14ac:dyDescent="0.25">
      <c r="A27" s="21" t="s">
        <v>19</v>
      </c>
      <c r="B27" s="22" t="s">
        <v>20</v>
      </c>
      <c r="C27" s="22" t="s">
        <v>20</v>
      </c>
      <c r="D27" s="21" t="s">
        <v>356</v>
      </c>
      <c r="E27" s="22"/>
    </row>
    <row r="28" spans="1:5" ht="14.25" customHeight="1" x14ac:dyDescent="0.25">
      <c r="A28" s="21" t="s">
        <v>21</v>
      </c>
      <c r="B28" s="22" t="s">
        <v>22</v>
      </c>
      <c r="C28" s="22" t="s">
        <v>22</v>
      </c>
      <c r="D28" s="21" t="s">
        <v>356</v>
      </c>
      <c r="E28" s="22"/>
    </row>
    <row r="29" spans="1:5" ht="14.25" customHeight="1" x14ac:dyDescent="0.25">
      <c r="A29" s="21" t="s">
        <v>27</v>
      </c>
      <c r="B29" s="22" t="s">
        <v>28</v>
      </c>
      <c r="C29" s="22" t="s">
        <v>28</v>
      </c>
      <c r="D29" s="21" t="s">
        <v>356</v>
      </c>
      <c r="E29" s="22"/>
    </row>
    <row r="30" spans="1:5" ht="14.25" customHeight="1" x14ac:dyDescent="0.25">
      <c r="A30" s="21" t="s">
        <v>31</v>
      </c>
      <c r="B30" s="22" t="s">
        <v>32</v>
      </c>
      <c r="C30" s="22" t="s">
        <v>32</v>
      </c>
      <c r="D30" s="21" t="s">
        <v>356</v>
      </c>
      <c r="E30" s="22"/>
    </row>
    <row r="31" spans="1:5" ht="14.25" customHeight="1" x14ac:dyDescent="0.25">
      <c r="A31" s="21" t="s">
        <v>25</v>
      </c>
      <c r="B31" s="22" t="s">
        <v>26</v>
      </c>
      <c r="C31" s="22" t="s">
        <v>26</v>
      </c>
      <c r="D31" s="21" t="s">
        <v>356</v>
      </c>
      <c r="E31" s="22"/>
    </row>
    <row r="32" spans="1:5" ht="14.25" customHeight="1" x14ac:dyDescent="0.25">
      <c r="A32" s="21" t="s">
        <v>15</v>
      </c>
      <c r="B32" s="22" t="s">
        <v>16</v>
      </c>
      <c r="C32" s="22" t="s">
        <v>16</v>
      </c>
      <c r="D32" s="21" t="s">
        <v>356</v>
      </c>
      <c r="E32" s="22"/>
    </row>
    <row r="33" spans="1:5" ht="14.25" customHeight="1" x14ac:dyDescent="0.25">
      <c r="A33" s="21" t="s">
        <v>228</v>
      </c>
      <c r="B33" s="22"/>
      <c r="C33" s="22" t="s">
        <v>35</v>
      </c>
      <c r="D33" s="26" t="s">
        <v>361</v>
      </c>
      <c r="E33" s="22"/>
    </row>
    <row r="34" spans="1:5" ht="14.25" customHeight="1" x14ac:dyDescent="0.25">
      <c r="A34" s="21" t="s">
        <v>229</v>
      </c>
      <c r="B34" s="22"/>
      <c r="C34" s="22" t="s">
        <v>69</v>
      </c>
      <c r="D34" s="26" t="s">
        <v>361</v>
      </c>
      <c r="E34" s="22"/>
    </row>
    <row r="35" spans="1:5" ht="14.25" customHeight="1" x14ac:dyDescent="0.25">
      <c r="A35" s="21" t="s">
        <v>230</v>
      </c>
      <c r="B35" s="22"/>
      <c r="C35" s="22" t="s">
        <v>70</v>
      </c>
      <c r="D35" s="26" t="s">
        <v>361</v>
      </c>
      <c r="E35" s="22"/>
    </row>
    <row r="36" spans="1:5" ht="14.25" customHeight="1" x14ac:dyDescent="0.25">
      <c r="A36" s="21" t="s">
        <v>231</v>
      </c>
      <c r="B36" s="22"/>
      <c r="C36" s="22" t="s">
        <v>53</v>
      </c>
      <c r="D36" s="26" t="s">
        <v>361</v>
      </c>
      <c r="E36" s="22"/>
    </row>
    <row r="37" spans="1:5" ht="14.25" customHeight="1" x14ac:dyDescent="0.25">
      <c r="A37" s="21" t="s">
        <v>232</v>
      </c>
      <c r="B37" s="22"/>
      <c r="C37" s="22" t="s">
        <v>69</v>
      </c>
      <c r="D37" s="26" t="s">
        <v>361</v>
      </c>
      <c r="E37" s="22"/>
    </row>
    <row r="38" spans="1:5" ht="14.25" customHeight="1" x14ac:dyDescent="0.25">
      <c r="A38" s="21" t="s">
        <v>233</v>
      </c>
      <c r="B38" s="22"/>
      <c r="C38" s="22" t="s">
        <v>54</v>
      </c>
      <c r="D38" s="26" t="s">
        <v>361</v>
      </c>
      <c r="E38" s="22"/>
    </row>
    <row r="39" spans="1:5" ht="14.25" customHeight="1" x14ac:dyDescent="0.25">
      <c r="A39" s="21" t="s">
        <v>234</v>
      </c>
      <c r="B39" s="22"/>
      <c r="C39" s="22" t="s">
        <v>70</v>
      </c>
      <c r="D39" s="26" t="s">
        <v>361</v>
      </c>
      <c r="E39" s="22"/>
    </row>
    <row r="40" spans="1:5" ht="14.25" customHeight="1" x14ac:dyDescent="0.25">
      <c r="A40" s="21" t="s">
        <v>235</v>
      </c>
      <c r="B40" s="22"/>
      <c r="C40" s="22" t="s">
        <v>55</v>
      </c>
      <c r="D40" s="26" t="s">
        <v>361</v>
      </c>
      <c r="E40" s="22"/>
    </row>
    <row r="41" spans="1:5" ht="14.25" customHeight="1" x14ac:dyDescent="0.25">
      <c r="A41" s="21" t="s">
        <v>236</v>
      </c>
      <c r="B41" s="22"/>
      <c r="C41" s="22" t="s">
        <v>70</v>
      </c>
      <c r="D41" s="26" t="s">
        <v>361</v>
      </c>
      <c r="E41" s="22"/>
    </row>
    <row r="42" spans="1:5" ht="14.25" customHeight="1" x14ac:dyDescent="0.25">
      <c r="A42" s="21" t="s">
        <v>239</v>
      </c>
      <c r="B42" s="22"/>
      <c r="C42" s="22" t="s">
        <v>87</v>
      </c>
      <c r="D42" s="26" t="s">
        <v>361</v>
      </c>
      <c r="E42" s="22"/>
    </row>
    <row r="43" spans="1:5" ht="14.25" customHeight="1" x14ac:dyDescent="0.25">
      <c r="A43" s="21" t="s">
        <v>247</v>
      </c>
      <c r="B43" s="22"/>
      <c r="C43" s="22" t="s">
        <v>132</v>
      </c>
      <c r="D43" s="26" t="s">
        <v>361</v>
      </c>
      <c r="E43" s="22"/>
    </row>
    <row r="44" spans="1:5" ht="14.25" customHeight="1" x14ac:dyDescent="0.25">
      <c r="A44" s="21" t="s">
        <v>248</v>
      </c>
      <c r="B44" s="22"/>
      <c r="C44" s="22" t="s">
        <v>138</v>
      </c>
      <c r="D44" s="26" t="s">
        <v>361</v>
      </c>
      <c r="E44" s="22"/>
    </row>
    <row r="45" spans="1:5" ht="14.25" customHeight="1" x14ac:dyDescent="0.25">
      <c r="A45" s="21" t="s">
        <v>238</v>
      </c>
      <c r="B45" s="22"/>
      <c r="C45" s="22" t="s">
        <v>85</v>
      </c>
      <c r="D45" s="26" t="s">
        <v>361</v>
      </c>
      <c r="E45" s="22"/>
    </row>
    <row r="46" spans="1:5" ht="14.25" customHeight="1" x14ac:dyDescent="0.25">
      <c r="A46" s="21" t="s">
        <v>340</v>
      </c>
      <c r="B46" s="22"/>
      <c r="C46" s="22" t="s">
        <v>97</v>
      </c>
      <c r="D46" s="26" t="s">
        <v>361</v>
      </c>
      <c r="E46" s="22"/>
    </row>
    <row r="47" spans="1:5" ht="14.25" customHeight="1" x14ac:dyDescent="0.25">
      <c r="A47" s="21" t="s">
        <v>344</v>
      </c>
      <c r="B47" s="22"/>
      <c r="C47" s="22" t="s">
        <v>124</v>
      </c>
      <c r="D47" s="26" t="s">
        <v>361</v>
      </c>
      <c r="E47" s="22"/>
    </row>
    <row r="48" spans="1:5" ht="14.25" customHeight="1" x14ac:dyDescent="0.25">
      <c r="A48" s="21" t="s">
        <v>345</v>
      </c>
      <c r="B48" s="22"/>
      <c r="C48" s="22" t="s">
        <v>136</v>
      </c>
      <c r="D48" s="26" t="s">
        <v>361</v>
      </c>
      <c r="E48" s="22"/>
    </row>
    <row r="49" spans="1:5" ht="14.25" customHeight="1" x14ac:dyDescent="0.25">
      <c r="A49" s="21" t="s">
        <v>343</v>
      </c>
      <c r="B49" s="22"/>
      <c r="C49" s="22" t="s">
        <v>32</v>
      </c>
      <c r="D49" s="26" t="s">
        <v>361</v>
      </c>
      <c r="E49" s="22"/>
    </row>
    <row r="50" spans="1:5" ht="14.25" customHeight="1" x14ac:dyDescent="0.25">
      <c r="A50" s="21" t="s">
        <v>341</v>
      </c>
      <c r="B50" s="22"/>
      <c r="C50" s="22" t="s">
        <v>28</v>
      </c>
      <c r="D50" s="26" t="s">
        <v>361</v>
      </c>
      <c r="E50" s="22"/>
    </row>
    <row r="51" spans="1:5" ht="14.25" customHeight="1" x14ac:dyDescent="0.25">
      <c r="A51" s="21" t="s">
        <v>342</v>
      </c>
      <c r="B51" s="22"/>
      <c r="C51" s="22" t="s">
        <v>28</v>
      </c>
      <c r="D51" s="26" t="s">
        <v>361</v>
      </c>
      <c r="E51" s="22"/>
    </row>
    <row r="52" spans="1:5" ht="14.25" customHeight="1" x14ac:dyDescent="0.25">
      <c r="A52" s="21" t="s">
        <v>338</v>
      </c>
      <c r="B52" s="22"/>
      <c r="C52" s="22" t="s">
        <v>83</v>
      </c>
      <c r="D52" s="26" t="s">
        <v>361</v>
      </c>
      <c r="E52" s="22"/>
    </row>
    <row r="53" spans="1:5" ht="14.25" customHeight="1" x14ac:dyDescent="0.25">
      <c r="A53" s="21" t="s">
        <v>339</v>
      </c>
      <c r="B53" s="22"/>
      <c r="C53" s="22" t="s">
        <v>85</v>
      </c>
      <c r="D53" s="26" t="s">
        <v>361</v>
      </c>
      <c r="E53" s="22"/>
    </row>
    <row r="54" spans="1:5" ht="14.25" customHeight="1" x14ac:dyDescent="0.25">
      <c r="A54" s="21" t="s">
        <v>251</v>
      </c>
      <c r="B54" s="22"/>
      <c r="C54" s="22" t="s">
        <v>88</v>
      </c>
      <c r="D54" s="26" t="s">
        <v>361</v>
      </c>
      <c r="E54" s="22"/>
    </row>
    <row r="55" spans="1:5" ht="14.25" customHeight="1" x14ac:dyDescent="0.25">
      <c r="A55" s="21" t="s">
        <v>256</v>
      </c>
      <c r="B55" s="22"/>
      <c r="C55" s="22" t="s">
        <v>124</v>
      </c>
      <c r="D55" s="26" t="s">
        <v>361</v>
      </c>
      <c r="E55" s="22"/>
    </row>
    <row r="56" spans="1:5" ht="14.25" customHeight="1" x14ac:dyDescent="0.25">
      <c r="A56" s="21" t="s">
        <v>258</v>
      </c>
      <c r="B56" s="22"/>
      <c r="C56" s="22" t="s">
        <v>133</v>
      </c>
      <c r="D56" s="26" t="s">
        <v>361</v>
      </c>
      <c r="E56" s="22"/>
    </row>
    <row r="57" spans="1:5" ht="14.25" customHeight="1" x14ac:dyDescent="0.25">
      <c r="A57" s="21" t="s">
        <v>257</v>
      </c>
      <c r="B57" s="22"/>
      <c r="C57" s="22" t="s">
        <v>128</v>
      </c>
      <c r="D57" s="26" t="s">
        <v>361</v>
      </c>
      <c r="E57" s="22"/>
    </row>
    <row r="58" spans="1:5" ht="14.25" customHeight="1" x14ac:dyDescent="0.25">
      <c r="A58" s="21" t="s">
        <v>254</v>
      </c>
      <c r="B58" s="22"/>
      <c r="C58" s="22" t="s">
        <v>32</v>
      </c>
      <c r="D58" s="26" t="s">
        <v>361</v>
      </c>
      <c r="E58" s="22"/>
    </row>
    <row r="59" spans="1:5" ht="14.25" customHeight="1" x14ac:dyDescent="0.25">
      <c r="A59" s="21" t="s">
        <v>255</v>
      </c>
      <c r="B59" s="22"/>
      <c r="C59" s="22" t="s">
        <v>112</v>
      </c>
      <c r="D59" s="26" t="s">
        <v>361</v>
      </c>
      <c r="E59" s="22"/>
    </row>
    <row r="60" spans="1:5" ht="14.25" customHeight="1" x14ac:dyDescent="0.25">
      <c r="A60" s="21" t="s">
        <v>252</v>
      </c>
      <c r="B60" s="22"/>
      <c r="C60" s="22" t="s">
        <v>28</v>
      </c>
      <c r="D60" s="26" t="s">
        <v>361</v>
      </c>
      <c r="E60" s="22"/>
    </row>
    <row r="61" spans="1:5" ht="14.25" customHeight="1" x14ac:dyDescent="0.25">
      <c r="A61" s="21" t="s">
        <v>253</v>
      </c>
      <c r="B61" s="22"/>
      <c r="C61" s="22" t="s">
        <v>28</v>
      </c>
      <c r="D61" s="26" t="s">
        <v>361</v>
      </c>
      <c r="E61" s="22"/>
    </row>
    <row r="62" spans="1:5" ht="14.25" customHeight="1" x14ac:dyDescent="0.25">
      <c r="A62" s="21" t="s">
        <v>249</v>
      </c>
      <c r="B62" s="22"/>
      <c r="C62" s="22" t="s">
        <v>74</v>
      </c>
      <c r="D62" s="26" t="s">
        <v>361</v>
      </c>
      <c r="E62" s="22"/>
    </row>
    <row r="63" spans="1:5" ht="14.25" customHeight="1" x14ac:dyDescent="0.25">
      <c r="A63" s="21" t="s">
        <v>250</v>
      </c>
      <c r="B63" s="22"/>
      <c r="C63" s="22" t="s">
        <v>85</v>
      </c>
      <c r="D63" s="26" t="s">
        <v>361</v>
      </c>
      <c r="E63" s="22"/>
    </row>
    <row r="64" spans="1:5" ht="14.25" customHeight="1" x14ac:dyDescent="0.25">
      <c r="A64" s="21" t="s">
        <v>265</v>
      </c>
      <c r="B64" s="22"/>
      <c r="C64" s="22" t="s">
        <v>124</v>
      </c>
      <c r="D64" s="26" t="s">
        <v>361</v>
      </c>
      <c r="E64" s="22"/>
    </row>
    <row r="65" spans="1:5" ht="14.25" customHeight="1" x14ac:dyDescent="0.25">
      <c r="A65" s="21" t="s">
        <v>267</v>
      </c>
      <c r="B65" s="22"/>
      <c r="C65" s="22" t="s">
        <v>133</v>
      </c>
      <c r="D65" s="26" t="s">
        <v>361</v>
      </c>
      <c r="E65" s="22"/>
    </row>
    <row r="66" spans="1:5" ht="14.25" customHeight="1" x14ac:dyDescent="0.25">
      <c r="A66" s="21" t="s">
        <v>266</v>
      </c>
      <c r="B66" s="22"/>
      <c r="C66" s="22" t="s">
        <v>128</v>
      </c>
      <c r="D66" s="26" t="s">
        <v>361</v>
      </c>
      <c r="E66" s="22"/>
    </row>
    <row r="67" spans="1:5" ht="14.25" customHeight="1" x14ac:dyDescent="0.25">
      <c r="A67" s="21" t="s">
        <v>264</v>
      </c>
      <c r="B67" s="22"/>
      <c r="C67" s="22" t="s">
        <v>32</v>
      </c>
      <c r="D67" s="26" t="s">
        <v>361</v>
      </c>
      <c r="E67" s="22"/>
    </row>
    <row r="68" spans="1:5" ht="14.25" customHeight="1" x14ac:dyDescent="0.25">
      <c r="A68" s="21" t="s">
        <v>260</v>
      </c>
      <c r="B68" s="22"/>
      <c r="C68" s="22" t="s">
        <v>85</v>
      </c>
      <c r="D68" s="26" t="s">
        <v>361</v>
      </c>
      <c r="E68" s="22"/>
    </row>
    <row r="69" spans="1:5" ht="14.25" customHeight="1" x14ac:dyDescent="0.25">
      <c r="A69" s="21" t="s">
        <v>270</v>
      </c>
      <c r="B69" s="22"/>
      <c r="C69" s="22" t="s">
        <v>90</v>
      </c>
      <c r="D69" s="26" t="s">
        <v>361</v>
      </c>
      <c r="E69" s="22"/>
    </row>
    <row r="70" spans="1:5" ht="14.25" customHeight="1" x14ac:dyDescent="0.25">
      <c r="A70" s="21" t="s">
        <v>274</v>
      </c>
      <c r="B70" s="22"/>
      <c r="C70" s="22" t="s">
        <v>124</v>
      </c>
      <c r="D70" s="26" t="s">
        <v>361</v>
      </c>
      <c r="E70" s="22"/>
    </row>
    <row r="71" spans="1:5" ht="14.25" customHeight="1" x14ac:dyDescent="0.25">
      <c r="A71" s="21" t="s">
        <v>275</v>
      </c>
      <c r="B71" s="22"/>
      <c r="C71" s="22" t="s">
        <v>128</v>
      </c>
      <c r="D71" s="26" t="s">
        <v>361</v>
      </c>
      <c r="E71" s="22"/>
    </row>
    <row r="72" spans="1:5" ht="14.25" customHeight="1" x14ac:dyDescent="0.25">
      <c r="A72" s="21" t="s">
        <v>273</v>
      </c>
      <c r="B72" s="22"/>
      <c r="C72" s="22" t="s">
        <v>32</v>
      </c>
      <c r="D72" s="26" t="s">
        <v>361</v>
      </c>
      <c r="E72" s="22"/>
    </row>
    <row r="73" spans="1:5" ht="14.25" customHeight="1" x14ac:dyDescent="0.25">
      <c r="A73" s="21" t="s">
        <v>271</v>
      </c>
      <c r="B73" s="22"/>
      <c r="C73" s="22" t="s">
        <v>28</v>
      </c>
      <c r="D73" s="26" t="s">
        <v>361</v>
      </c>
      <c r="E73" s="22"/>
    </row>
    <row r="74" spans="1:5" ht="14.25" customHeight="1" x14ac:dyDescent="0.25">
      <c r="A74" s="21" t="s">
        <v>272</v>
      </c>
      <c r="B74" s="22"/>
      <c r="C74" s="22" t="s">
        <v>28</v>
      </c>
      <c r="D74" s="26" t="s">
        <v>361</v>
      </c>
      <c r="E74" s="22"/>
    </row>
    <row r="75" spans="1:5" ht="14.25" customHeight="1" x14ac:dyDescent="0.25">
      <c r="A75" s="21" t="s">
        <v>268</v>
      </c>
      <c r="B75" s="22"/>
      <c r="C75" s="22" t="s">
        <v>76</v>
      </c>
      <c r="D75" s="26" t="s">
        <v>361</v>
      </c>
      <c r="E75" s="22"/>
    </row>
    <row r="76" spans="1:5" ht="14.25" customHeight="1" x14ac:dyDescent="0.25">
      <c r="A76" s="21" t="s">
        <v>269</v>
      </c>
      <c r="B76" s="22"/>
      <c r="C76" s="22" t="s">
        <v>85</v>
      </c>
      <c r="D76" s="26" t="s">
        <v>361</v>
      </c>
      <c r="E76" s="22"/>
    </row>
    <row r="77" spans="1:5" ht="14.25" customHeight="1" x14ac:dyDescent="0.25">
      <c r="A77" s="21" t="s">
        <v>278</v>
      </c>
      <c r="B77" s="22"/>
      <c r="C77" s="22" t="s">
        <v>91</v>
      </c>
      <c r="D77" s="26" t="s">
        <v>361</v>
      </c>
      <c r="E77" s="22"/>
    </row>
    <row r="78" spans="1:5" ht="14.25" customHeight="1" x14ac:dyDescent="0.25">
      <c r="A78" s="21" t="s">
        <v>283</v>
      </c>
      <c r="B78" s="22"/>
      <c r="C78" s="22" t="s">
        <v>124</v>
      </c>
      <c r="D78" s="26" t="s">
        <v>361</v>
      </c>
      <c r="E78" s="22"/>
    </row>
    <row r="79" spans="1:5" ht="14.25" customHeight="1" x14ac:dyDescent="0.25">
      <c r="A79" s="21" t="s">
        <v>285</v>
      </c>
      <c r="B79" s="22"/>
      <c r="C79" s="22" t="s">
        <v>133</v>
      </c>
      <c r="D79" s="26" t="s">
        <v>361</v>
      </c>
      <c r="E79" s="22"/>
    </row>
    <row r="80" spans="1:5" ht="14.25" customHeight="1" x14ac:dyDescent="0.25">
      <c r="A80" s="21" t="s">
        <v>284</v>
      </c>
      <c r="B80" s="22"/>
      <c r="C80" s="22" t="s">
        <v>128</v>
      </c>
      <c r="D80" s="26" t="s">
        <v>361</v>
      </c>
      <c r="E80" s="22"/>
    </row>
    <row r="81" spans="1:5" ht="14.25" customHeight="1" x14ac:dyDescent="0.25">
      <c r="A81" s="21" t="s">
        <v>281</v>
      </c>
      <c r="B81" s="22"/>
      <c r="C81" s="22" t="s">
        <v>32</v>
      </c>
      <c r="D81" s="26" t="s">
        <v>361</v>
      </c>
      <c r="E81" s="22"/>
    </row>
    <row r="82" spans="1:5" ht="14.25" customHeight="1" x14ac:dyDescent="0.25">
      <c r="A82" s="21" t="s">
        <v>282</v>
      </c>
      <c r="B82" s="22"/>
      <c r="C82" s="22" t="s">
        <v>112</v>
      </c>
      <c r="D82" s="26" t="s">
        <v>361</v>
      </c>
      <c r="E82" s="22"/>
    </row>
    <row r="83" spans="1:5" ht="14.25" customHeight="1" x14ac:dyDescent="0.25">
      <c r="A83" s="21" t="s">
        <v>279</v>
      </c>
      <c r="B83" s="22"/>
      <c r="C83" s="22" t="s">
        <v>28</v>
      </c>
      <c r="D83" s="26" t="s">
        <v>361</v>
      </c>
      <c r="E83" s="22"/>
    </row>
    <row r="84" spans="1:5" ht="14.25" customHeight="1" x14ac:dyDescent="0.25">
      <c r="A84" s="21" t="s">
        <v>280</v>
      </c>
      <c r="B84" s="22"/>
      <c r="C84" s="22" t="s">
        <v>28</v>
      </c>
      <c r="D84" s="26" t="s">
        <v>361</v>
      </c>
      <c r="E84" s="22"/>
    </row>
    <row r="85" spans="1:5" ht="14.25" customHeight="1" x14ac:dyDescent="0.25">
      <c r="A85" s="21" t="s">
        <v>276</v>
      </c>
      <c r="B85" s="22"/>
      <c r="C85" s="22" t="s">
        <v>77</v>
      </c>
      <c r="D85" s="26" t="s">
        <v>361</v>
      </c>
      <c r="E85" s="22"/>
    </row>
    <row r="86" spans="1:5" ht="14.25" customHeight="1" x14ac:dyDescent="0.25">
      <c r="A86" s="21" t="s">
        <v>277</v>
      </c>
      <c r="B86" s="22"/>
      <c r="C86" s="22" t="s">
        <v>85</v>
      </c>
      <c r="D86" s="26" t="s">
        <v>361</v>
      </c>
      <c r="E86" s="22"/>
    </row>
    <row r="87" spans="1:5" ht="14.25" customHeight="1" x14ac:dyDescent="0.25">
      <c r="A87" s="21" t="s">
        <v>288</v>
      </c>
      <c r="B87" s="22"/>
      <c r="C87" s="22" t="s">
        <v>92</v>
      </c>
      <c r="D87" s="26" t="s">
        <v>361</v>
      </c>
      <c r="E87" s="22"/>
    </row>
    <row r="88" spans="1:5" ht="14.25" customHeight="1" x14ac:dyDescent="0.25">
      <c r="A88" s="21" t="s">
        <v>292</v>
      </c>
      <c r="B88" s="22"/>
      <c r="C88" s="22" t="s">
        <v>124</v>
      </c>
      <c r="D88" s="26" t="s">
        <v>361</v>
      </c>
      <c r="E88" s="22"/>
    </row>
    <row r="89" spans="1:5" ht="14.25" customHeight="1" x14ac:dyDescent="0.25">
      <c r="A89" s="21" t="s">
        <v>293</v>
      </c>
      <c r="B89" s="22"/>
      <c r="C89" s="22" t="s">
        <v>128</v>
      </c>
      <c r="D89" s="26" t="s">
        <v>361</v>
      </c>
      <c r="E89" s="22"/>
    </row>
    <row r="90" spans="1:5" ht="14.25" customHeight="1" x14ac:dyDescent="0.25">
      <c r="A90" s="21" t="s">
        <v>291</v>
      </c>
      <c r="B90" s="22"/>
      <c r="C90" s="22" t="s">
        <v>32</v>
      </c>
      <c r="D90" s="26" t="s">
        <v>361</v>
      </c>
      <c r="E90" s="22"/>
    </row>
    <row r="91" spans="1:5" ht="14.25" customHeight="1" x14ac:dyDescent="0.25">
      <c r="A91" s="21" t="s">
        <v>289</v>
      </c>
      <c r="B91" s="22"/>
      <c r="C91" s="22" t="s">
        <v>28</v>
      </c>
      <c r="D91" s="26" t="s">
        <v>361</v>
      </c>
      <c r="E91" s="22"/>
    </row>
    <row r="92" spans="1:5" ht="14.25" customHeight="1" x14ac:dyDescent="0.25">
      <c r="A92" s="21" t="s">
        <v>290</v>
      </c>
      <c r="B92" s="22"/>
      <c r="C92" s="22" t="s">
        <v>28</v>
      </c>
      <c r="D92" s="26" t="s">
        <v>361</v>
      </c>
      <c r="E92" s="22"/>
    </row>
    <row r="93" spans="1:5" ht="14.25" customHeight="1" x14ac:dyDescent="0.25">
      <c r="A93" s="21" t="s">
        <v>286</v>
      </c>
      <c r="B93" s="22"/>
      <c r="C93" s="22" t="s">
        <v>78</v>
      </c>
      <c r="D93" s="26" t="s">
        <v>361</v>
      </c>
      <c r="E93" s="22"/>
    </row>
    <row r="94" spans="1:5" ht="14.25" customHeight="1" x14ac:dyDescent="0.25">
      <c r="A94" s="21" t="s">
        <v>287</v>
      </c>
      <c r="B94" s="22"/>
      <c r="C94" s="22" t="s">
        <v>85</v>
      </c>
      <c r="D94" s="26" t="s">
        <v>361</v>
      </c>
      <c r="E94" s="22"/>
    </row>
    <row r="95" spans="1:5" ht="14.25" customHeight="1" x14ac:dyDescent="0.25">
      <c r="A95" s="21" t="s">
        <v>296</v>
      </c>
      <c r="B95" s="22"/>
      <c r="C95" s="22" t="s">
        <v>93</v>
      </c>
      <c r="D95" s="26" t="s">
        <v>361</v>
      </c>
      <c r="E95" s="22"/>
    </row>
    <row r="96" spans="1:5" ht="14.25" customHeight="1" x14ac:dyDescent="0.25">
      <c r="A96" s="21" t="s">
        <v>304</v>
      </c>
      <c r="B96" s="22"/>
      <c r="C96" s="22" t="s">
        <v>124</v>
      </c>
      <c r="D96" s="26" t="s">
        <v>361</v>
      </c>
      <c r="E96" s="22"/>
    </row>
    <row r="97" spans="1:5" ht="14.25" customHeight="1" x14ac:dyDescent="0.25">
      <c r="A97" s="21" t="s">
        <v>306</v>
      </c>
      <c r="B97" s="22"/>
      <c r="C97" s="22" t="s">
        <v>134</v>
      </c>
      <c r="D97" s="26" t="s">
        <v>361</v>
      </c>
      <c r="E97" s="22"/>
    </row>
    <row r="98" spans="1:5" ht="14.25" customHeight="1" x14ac:dyDescent="0.25">
      <c r="A98" s="21" t="s">
        <v>303</v>
      </c>
      <c r="B98" s="22"/>
      <c r="C98" s="22" t="s">
        <v>121</v>
      </c>
      <c r="D98" s="26" t="s">
        <v>361</v>
      </c>
      <c r="E98" s="22"/>
    </row>
    <row r="99" spans="1:5" ht="14.25" customHeight="1" x14ac:dyDescent="0.25">
      <c r="A99" s="21" t="s">
        <v>305</v>
      </c>
      <c r="B99" s="22"/>
      <c r="C99" s="22" t="s">
        <v>128</v>
      </c>
      <c r="D99" s="26" t="s">
        <v>361</v>
      </c>
      <c r="E99" s="22"/>
    </row>
    <row r="100" spans="1:5" ht="14.25" customHeight="1" x14ac:dyDescent="0.25">
      <c r="A100" s="21" t="s">
        <v>299</v>
      </c>
      <c r="B100" s="22"/>
      <c r="C100" s="22" t="s">
        <v>32</v>
      </c>
      <c r="D100" s="26" t="s">
        <v>361</v>
      </c>
      <c r="E100" s="22"/>
    </row>
    <row r="101" spans="1:5" ht="14.25" customHeight="1" x14ac:dyDescent="0.25">
      <c r="A101" s="21" t="s">
        <v>300</v>
      </c>
      <c r="B101" s="22"/>
      <c r="C101" s="22" t="s">
        <v>301</v>
      </c>
      <c r="D101" s="26" t="s">
        <v>361</v>
      </c>
      <c r="E101" s="22"/>
    </row>
    <row r="102" spans="1:5" ht="14.25" customHeight="1" x14ac:dyDescent="0.25">
      <c r="A102" s="21" t="s">
        <v>302</v>
      </c>
      <c r="B102" s="22"/>
      <c r="C102" s="22" t="s">
        <v>112</v>
      </c>
      <c r="D102" s="26" t="s">
        <v>361</v>
      </c>
      <c r="E102" s="22"/>
    </row>
    <row r="103" spans="1:5" ht="14.25" customHeight="1" x14ac:dyDescent="0.25">
      <c r="A103" s="21" t="s">
        <v>297</v>
      </c>
      <c r="B103" s="22"/>
      <c r="C103" s="22" t="s">
        <v>28</v>
      </c>
      <c r="D103" s="26" t="s">
        <v>361</v>
      </c>
      <c r="E103" s="22"/>
    </row>
    <row r="104" spans="1:5" ht="14.25" customHeight="1" x14ac:dyDescent="0.25">
      <c r="A104" s="21" t="s">
        <v>298</v>
      </c>
      <c r="B104" s="22"/>
      <c r="C104" s="22" t="s">
        <v>28</v>
      </c>
      <c r="D104" s="26" t="s">
        <v>361</v>
      </c>
      <c r="E104" s="22"/>
    </row>
    <row r="105" spans="1:5" ht="14.25" customHeight="1" x14ac:dyDescent="0.25">
      <c r="A105" s="21" t="s">
        <v>294</v>
      </c>
      <c r="B105" s="22"/>
      <c r="C105" s="22" t="s">
        <v>79</v>
      </c>
      <c r="D105" s="26" t="s">
        <v>361</v>
      </c>
      <c r="E105" s="22"/>
    </row>
    <row r="106" spans="1:5" ht="14.25" customHeight="1" x14ac:dyDescent="0.25">
      <c r="A106" s="21" t="s">
        <v>295</v>
      </c>
      <c r="B106" s="22"/>
      <c r="C106" s="22" t="s">
        <v>85</v>
      </c>
      <c r="D106" s="26" t="s">
        <v>361</v>
      </c>
      <c r="E106" s="22"/>
    </row>
    <row r="107" spans="1:5" ht="14.25" customHeight="1" x14ac:dyDescent="0.25">
      <c r="A107" s="21" t="s">
        <v>309</v>
      </c>
      <c r="B107" s="22"/>
      <c r="C107" s="22" t="s">
        <v>94</v>
      </c>
      <c r="D107" s="26" t="s">
        <v>361</v>
      </c>
      <c r="E107" s="22"/>
    </row>
    <row r="108" spans="1:5" ht="14.25" customHeight="1" x14ac:dyDescent="0.25">
      <c r="A108" s="21" t="s">
        <v>314</v>
      </c>
      <c r="B108" s="22"/>
      <c r="C108" s="22" t="s">
        <v>124</v>
      </c>
      <c r="D108" s="26" t="s">
        <v>361</v>
      </c>
      <c r="E108" s="22"/>
    </row>
    <row r="109" spans="1:5" ht="14.25" customHeight="1" x14ac:dyDescent="0.25">
      <c r="A109" s="21" t="s">
        <v>316</v>
      </c>
      <c r="B109" s="22"/>
      <c r="C109" s="22" t="s">
        <v>133</v>
      </c>
      <c r="D109" s="26" t="s">
        <v>361</v>
      </c>
      <c r="E109" s="22"/>
    </row>
    <row r="110" spans="1:5" ht="14.25" customHeight="1" x14ac:dyDescent="0.25">
      <c r="A110" s="21" t="s">
        <v>313</v>
      </c>
      <c r="B110" s="22"/>
      <c r="C110" s="22" t="s">
        <v>122</v>
      </c>
      <c r="D110" s="26" t="s">
        <v>361</v>
      </c>
      <c r="E110" s="22"/>
    </row>
    <row r="111" spans="1:5" ht="14.25" customHeight="1" x14ac:dyDescent="0.25">
      <c r="A111" s="21" t="s">
        <v>315</v>
      </c>
      <c r="B111" s="22"/>
      <c r="C111" s="22" t="s">
        <v>128</v>
      </c>
      <c r="D111" s="26" t="s">
        <v>361</v>
      </c>
      <c r="E111" s="22"/>
    </row>
    <row r="112" spans="1:5" ht="14.25" customHeight="1" x14ac:dyDescent="0.25">
      <c r="A112" s="21" t="s">
        <v>318</v>
      </c>
      <c r="B112" s="22"/>
      <c r="C112" s="22" t="s">
        <v>124</v>
      </c>
      <c r="D112" s="26" t="s">
        <v>361</v>
      </c>
      <c r="E112" s="22"/>
    </row>
    <row r="113" spans="1:5" ht="14.25" customHeight="1" x14ac:dyDescent="0.25">
      <c r="A113" s="21" t="s">
        <v>320</v>
      </c>
      <c r="B113" s="22"/>
      <c r="C113" s="22" t="s">
        <v>136</v>
      </c>
      <c r="D113" s="26" t="s">
        <v>361</v>
      </c>
      <c r="E113" s="22"/>
    </row>
    <row r="114" spans="1:5" ht="14.25" customHeight="1" x14ac:dyDescent="0.25">
      <c r="A114" s="21" t="s">
        <v>317</v>
      </c>
      <c r="B114" s="22"/>
      <c r="C114" s="22" t="s">
        <v>122</v>
      </c>
      <c r="D114" s="26" t="s">
        <v>361</v>
      </c>
      <c r="E114" s="22"/>
    </row>
    <row r="115" spans="1:5" ht="14.25" customHeight="1" x14ac:dyDescent="0.25">
      <c r="A115" s="21" t="s">
        <v>319</v>
      </c>
      <c r="B115" s="22"/>
      <c r="C115" s="22" t="s">
        <v>128</v>
      </c>
      <c r="D115" s="26" t="s">
        <v>361</v>
      </c>
      <c r="E115" s="22"/>
    </row>
    <row r="116" spans="1:5" ht="14.25" customHeight="1" x14ac:dyDescent="0.25">
      <c r="A116" s="21" t="s">
        <v>312</v>
      </c>
      <c r="B116" s="22"/>
      <c r="C116" s="22" t="s">
        <v>32</v>
      </c>
      <c r="D116" s="26" t="s">
        <v>361</v>
      </c>
      <c r="E116" s="22"/>
    </row>
    <row r="117" spans="1:5" ht="14.25" customHeight="1" x14ac:dyDescent="0.25">
      <c r="A117" s="21" t="s">
        <v>310</v>
      </c>
      <c r="B117" s="22"/>
      <c r="C117" s="22" t="s">
        <v>28</v>
      </c>
      <c r="D117" s="26" t="s">
        <v>361</v>
      </c>
      <c r="E117" s="22"/>
    </row>
    <row r="118" spans="1:5" ht="14.25" customHeight="1" x14ac:dyDescent="0.25">
      <c r="A118" s="21" t="s">
        <v>311</v>
      </c>
      <c r="B118" s="22"/>
      <c r="C118" s="22" t="s">
        <v>28</v>
      </c>
      <c r="D118" s="26" t="s">
        <v>361</v>
      </c>
      <c r="E118" s="22"/>
    </row>
    <row r="119" spans="1:5" ht="14.25" customHeight="1" x14ac:dyDescent="0.25">
      <c r="A119" s="21" t="s">
        <v>307</v>
      </c>
      <c r="B119" s="22"/>
      <c r="C119" s="22" t="s">
        <v>80</v>
      </c>
      <c r="D119" s="26" t="s">
        <v>361</v>
      </c>
      <c r="E119" s="22"/>
    </row>
    <row r="120" spans="1:5" ht="14.25" customHeight="1" x14ac:dyDescent="0.25">
      <c r="A120" s="21" t="s">
        <v>308</v>
      </c>
      <c r="B120" s="22"/>
      <c r="C120" s="22" t="s">
        <v>85</v>
      </c>
      <c r="D120" s="26" t="s">
        <v>361</v>
      </c>
      <c r="E120" s="22"/>
    </row>
    <row r="121" spans="1:5" ht="14.25" customHeight="1" x14ac:dyDescent="0.25">
      <c r="A121" s="21" t="s">
        <v>323</v>
      </c>
      <c r="B121" s="22"/>
      <c r="C121" s="22" t="s">
        <v>95</v>
      </c>
      <c r="D121" s="26" t="s">
        <v>361</v>
      </c>
      <c r="E121" s="22"/>
    </row>
    <row r="122" spans="1:5" ht="14.25" customHeight="1" x14ac:dyDescent="0.25">
      <c r="A122" s="21" t="s">
        <v>327</v>
      </c>
      <c r="B122" s="22"/>
      <c r="C122" s="22" t="s">
        <v>124</v>
      </c>
      <c r="D122" s="26" t="s">
        <v>361</v>
      </c>
      <c r="E122" s="22"/>
    </row>
    <row r="123" spans="1:5" ht="14.25" customHeight="1" x14ac:dyDescent="0.25">
      <c r="A123" s="21" t="s">
        <v>329</v>
      </c>
      <c r="B123" s="22"/>
      <c r="C123" s="22" t="s">
        <v>133</v>
      </c>
      <c r="D123" s="26" t="s">
        <v>361</v>
      </c>
      <c r="E123" s="22"/>
    </row>
    <row r="124" spans="1:5" ht="14.25" customHeight="1" x14ac:dyDescent="0.25">
      <c r="A124" s="21" t="s">
        <v>328</v>
      </c>
      <c r="B124" s="22"/>
      <c r="C124" s="22" t="s">
        <v>128</v>
      </c>
      <c r="D124" s="26" t="s">
        <v>361</v>
      </c>
      <c r="E124" s="22"/>
    </row>
    <row r="125" spans="1:5" ht="14.25" customHeight="1" x14ac:dyDescent="0.25">
      <c r="A125" s="21" t="s">
        <v>326</v>
      </c>
      <c r="B125" s="22"/>
      <c r="C125" s="22" t="s">
        <v>32</v>
      </c>
      <c r="D125" s="26" t="s">
        <v>361</v>
      </c>
      <c r="E125" s="22"/>
    </row>
    <row r="126" spans="1:5" ht="14.25" customHeight="1" x14ac:dyDescent="0.25">
      <c r="A126" s="21" t="s">
        <v>324</v>
      </c>
      <c r="B126" s="22"/>
      <c r="C126" s="22" t="s">
        <v>28</v>
      </c>
      <c r="D126" s="26" t="s">
        <v>361</v>
      </c>
      <c r="E126" s="22"/>
    </row>
    <row r="127" spans="1:5" ht="14.25" customHeight="1" x14ac:dyDescent="0.25">
      <c r="A127" s="21" t="s">
        <v>325</v>
      </c>
      <c r="B127" s="22"/>
      <c r="C127" s="22" t="s">
        <v>28</v>
      </c>
      <c r="D127" s="26" t="s">
        <v>361</v>
      </c>
      <c r="E127" s="22"/>
    </row>
    <row r="128" spans="1:5" ht="14.25" customHeight="1" x14ac:dyDescent="0.25">
      <c r="A128" s="21" t="s">
        <v>321</v>
      </c>
      <c r="B128" s="22"/>
      <c r="C128" s="22" t="s">
        <v>81</v>
      </c>
      <c r="D128" s="26" t="s">
        <v>361</v>
      </c>
      <c r="E128" s="22"/>
    </row>
    <row r="129" spans="1:5" ht="14.25" customHeight="1" x14ac:dyDescent="0.25">
      <c r="A129" s="21" t="s">
        <v>322</v>
      </c>
      <c r="B129" s="22"/>
      <c r="C129" s="22" t="s">
        <v>85</v>
      </c>
      <c r="D129" s="26" t="s">
        <v>361</v>
      </c>
      <c r="E129" s="22"/>
    </row>
    <row r="130" spans="1:5" ht="14.25" customHeight="1" x14ac:dyDescent="0.25">
      <c r="A130" s="21" t="s">
        <v>332</v>
      </c>
      <c r="B130" s="22"/>
      <c r="C130" s="22" t="s">
        <v>96</v>
      </c>
      <c r="D130" s="26" t="s">
        <v>361</v>
      </c>
      <c r="E130" s="22"/>
    </row>
    <row r="131" spans="1:5" ht="14.25" customHeight="1" x14ac:dyDescent="0.25">
      <c r="A131" s="21" t="s">
        <v>336</v>
      </c>
      <c r="B131" s="22"/>
      <c r="C131" s="22" t="s">
        <v>124</v>
      </c>
      <c r="D131" s="26" t="s">
        <v>361</v>
      </c>
      <c r="E131" s="22"/>
    </row>
    <row r="132" spans="1:5" ht="14.25" customHeight="1" x14ac:dyDescent="0.25">
      <c r="A132" s="21" t="s">
        <v>337</v>
      </c>
      <c r="B132" s="22"/>
      <c r="C132" s="22" t="s">
        <v>136</v>
      </c>
      <c r="D132" s="26" t="s">
        <v>361</v>
      </c>
      <c r="E132" s="22"/>
    </row>
    <row r="133" spans="1:5" ht="14.25" customHeight="1" x14ac:dyDescent="0.25">
      <c r="A133" s="21" t="s">
        <v>335</v>
      </c>
      <c r="B133" s="22"/>
      <c r="C133" s="22" t="s">
        <v>32</v>
      </c>
      <c r="D133" s="26" t="s">
        <v>361</v>
      </c>
      <c r="E133" s="22"/>
    </row>
    <row r="134" spans="1:5" ht="14.25" customHeight="1" x14ac:dyDescent="0.25">
      <c r="A134" s="21" t="s">
        <v>333</v>
      </c>
      <c r="B134" s="22"/>
      <c r="C134" s="22" t="s">
        <v>28</v>
      </c>
      <c r="D134" s="26" t="s">
        <v>361</v>
      </c>
      <c r="E134" s="22"/>
    </row>
    <row r="135" spans="1:5" ht="14.25" customHeight="1" x14ac:dyDescent="0.25">
      <c r="A135" s="21" t="s">
        <v>334</v>
      </c>
      <c r="B135" s="22"/>
      <c r="C135" s="22" t="s">
        <v>28</v>
      </c>
      <c r="D135" s="26" t="s">
        <v>361</v>
      </c>
      <c r="E135" s="22"/>
    </row>
    <row r="136" spans="1:5" ht="14.25" customHeight="1" x14ac:dyDescent="0.25">
      <c r="A136" s="21" t="s">
        <v>330</v>
      </c>
      <c r="B136" s="22"/>
      <c r="C136" s="22" t="s">
        <v>82</v>
      </c>
      <c r="D136" s="26" t="s">
        <v>361</v>
      </c>
      <c r="E136" s="22"/>
    </row>
    <row r="137" spans="1:5" ht="14.25" customHeight="1" x14ac:dyDescent="0.25">
      <c r="A137" s="21" t="s">
        <v>331</v>
      </c>
      <c r="B137" s="22"/>
      <c r="C137" s="22" t="s">
        <v>85</v>
      </c>
      <c r="D137" s="26" t="s">
        <v>361</v>
      </c>
      <c r="E137" s="22"/>
    </row>
    <row r="138" spans="1:5" ht="14.25" customHeight="1" x14ac:dyDescent="0.25">
      <c r="A138" s="21" t="s">
        <v>348</v>
      </c>
      <c r="B138" s="22"/>
      <c r="C138" s="22" t="s">
        <v>158</v>
      </c>
      <c r="D138" s="26" t="s">
        <v>361</v>
      </c>
      <c r="E138" s="22"/>
    </row>
    <row r="139" spans="1:5" ht="14.25" customHeight="1" x14ac:dyDescent="0.25">
      <c r="A139" s="21" t="s">
        <v>350</v>
      </c>
      <c r="B139" s="22"/>
      <c r="C139" s="22" t="s">
        <v>166</v>
      </c>
      <c r="D139" s="26" t="s">
        <v>361</v>
      </c>
      <c r="E139" s="22"/>
    </row>
    <row r="140" spans="1:5" ht="14.25" customHeight="1" x14ac:dyDescent="0.25">
      <c r="A140" s="21" t="s">
        <v>351</v>
      </c>
      <c r="B140" s="22"/>
      <c r="C140" s="22" t="s">
        <v>170</v>
      </c>
      <c r="D140" s="26" t="s">
        <v>361</v>
      </c>
      <c r="E140" s="22"/>
    </row>
    <row r="141" spans="1:5" ht="14.25" customHeight="1" x14ac:dyDescent="0.25">
      <c r="A141" s="21" t="s">
        <v>349</v>
      </c>
      <c r="B141" s="22"/>
      <c r="C141" s="22" t="s">
        <v>164</v>
      </c>
      <c r="D141" s="26" t="s">
        <v>361</v>
      </c>
      <c r="E141" s="22"/>
    </row>
    <row r="142" spans="1:5" ht="14.25" customHeight="1" x14ac:dyDescent="0.25">
      <c r="A142" s="21" t="s">
        <v>347</v>
      </c>
      <c r="B142" s="22"/>
      <c r="C142" s="22" t="s">
        <v>118</v>
      </c>
      <c r="D142" s="26" t="s">
        <v>361</v>
      </c>
      <c r="E142" s="22"/>
    </row>
    <row r="143" spans="1:5" ht="14.25" customHeight="1" x14ac:dyDescent="0.25">
      <c r="A143" s="21" t="s">
        <v>346</v>
      </c>
      <c r="B143" s="22"/>
      <c r="C143" s="22" t="s">
        <v>146</v>
      </c>
      <c r="D143" s="26" t="s">
        <v>361</v>
      </c>
      <c r="E143" s="22"/>
    </row>
    <row r="144" spans="1:5"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sheetData>
  <conditionalFormatting sqref="D2:D3 D5 D8:D14 D16:D17 D19 D23:D32">
    <cfRule type="cellIs" dxfId="4" priority="1" operator="equal">
      <formula>"Correct"</formula>
    </cfRule>
    <cfRule type="cellIs" dxfId="3" priority="2" operator="equal">
      <formula>"Partial"</formula>
    </cfRule>
    <cfRule type="cellIs" dxfId="2" priority="3" operator="equal">
      <formula>"Incorrect"</formula>
    </cfRule>
    <cfRule type="cellIs" dxfId="1" priority="4" operator="equal">
      <formula>"Hallucinated"</formula>
    </cfRule>
    <cfRule type="cellIs" dxfId="0" priority="5" operator="equal">
      <formula>"Missing"</formula>
    </cfRule>
  </conditionalFormatting>
  <pageMargins left="0.75" right="0.75" top="1" bottom="1"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22"/>
  <sheetViews>
    <sheetView workbookViewId="0">
      <selection sqref="A1:D1"/>
    </sheetView>
  </sheetViews>
  <sheetFormatPr defaultColWidth="14.42578125" defaultRowHeight="15" customHeight="1" x14ac:dyDescent="0.25"/>
  <cols>
    <col min="1" max="1" width="55" customWidth="1"/>
    <col min="2" max="2" width="31.85546875" customWidth="1"/>
    <col min="3" max="3" width="31.28515625" customWidth="1"/>
    <col min="4" max="4" width="36.5703125" customWidth="1"/>
  </cols>
  <sheetData>
    <row r="1" spans="1:4" x14ac:dyDescent="0.25">
      <c r="A1" s="41" t="s">
        <v>387</v>
      </c>
      <c r="B1" s="42"/>
      <c r="C1" s="42"/>
      <c r="D1" s="42"/>
    </row>
    <row r="2" spans="1:4" x14ac:dyDescent="0.25">
      <c r="A2" s="1"/>
      <c r="B2" s="1"/>
      <c r="C2" s="1"/>
      <c r="D2" s="1"/>
    </row>
    <row r="3" spans="1:4" x14ac:dyDescent="0.25">
      <c r="A3" s="2" t="s">
        <v>388</v>
      </c>
      <c r="B3" s="2" t="s">
        <v>389</v>
      </c>
      <c r="C3" s="2" t="s">
        <v>390</v>
      </c>
      <c r="D3" s="2" t="s">
        <v>391</v>
      </c>
    </row>
    <row r="4" spans="1:4" x14ac:dyDescent="0.25">
      <c r="A4" s="10" t="s">
        <v>392</v>
      </c>
      <c r="B4" s="11">
        <f>COUNTA('Reference (JSON)'!$B$2:$B$135)</f>
        <v>134</v>
      </c>
      <c r="C4" s="11">
        <f>COUNTA('Reference (JSON)'!$B$2:$B$135)</f>
        <v>134</v>
      </c>
      <c r="D4" s="11">
        <f>COUNTA('Reference (JSON)'!$B$2:$B$135)</f>
        <v>134</v>
      </c>
    </row>
    <row r="5" spans="1:4" x14ac:dyDescent="0.25">
      <c r="A5" s="10" t="s">
        <v>393</v>
      </c>
      <c r="B5" s="11">
        <f>COUNTIF('sample14-llama3.1-8b'!$D:$D,"Correct")+COUNTIF('sample14-llama3.1-8b'!$D:$D,"Hallucinated")</f>
        <v>17</v>
      </c>
      <c r="C5" s="11">
        <f>COUNTIF('sample14-gemma4-e4b'!$D:$D,"Correct")+COUNTIF('sample14-gemma4-e4b'!$D:$D,"Hallucinated")</f>
        <v>23</v>
      </c>
      <c r="D5" s="11">
        <f>COUNTIF('sample14-version1-llama3.3-70b'!$D:$D,"Correct")+COUNTIF('sample14-version1-llama3.3-70b'!$D:$D,"Hallucinated")</f>
        <v>31</v>
      </c>
    </row>
    <row r="6" spans="1:4" x14ac:dyDescent="0.25">
      <c r="A6" s="12" t="s">
        <v>356</v>
      </c>
      <c r="B6" s="13">
        <f>COUNTIF('sample14-llama3.1-8b'!$D:$D,"Correct")</f>
        <v>15</v>
      </c>
      <c r="C6" s="13">
        <f>COUNTIF('sample14-gemma4-e4b'!$D:$D,"Correct")</f>
        <v>8</v>
      </c>
      <c r="D6" s="13">
        <f>COUNTIF('sample14-version1-llama3.3-70b'!$D:$D,"Correct")</f>
        <v>23</v>
      </c>
    </row>
    <row r="7" spans="1:4" x14ac:dyDescent="0.25">
      <c r="A7" s="14" t="s">
        <v>358</v>
      </c>
      <c r="B7" s="15">
        <f>COUNTIF('sample14-llama3.1-8b'!$D:$D,"Hallucinated")</f>
        <v>2</v>
      </c>
      <c r="C7" s="15">
        <f>COUNTIF('sample14-gemma4-e4b'!$D:$D,"Hallucinated")</f>
        <v>15</v>
      </c>
      <c r="D7" s="15">
        <f>COUNTIF('sample14-version1-llama3.3-70b'!$D:$D,"Hallucinated")</f>
        <v>8</v>
      </c>
    </row>
    <row r="8" spans="1:4" x14ac:dyDescent="0.25">
      <c r="A8" s="16" t="s">
        <v>394</v>
      </c>
      <c r="B8" s="17">
        <f>COUNTIF('sample14-llama3.1-8b'!$D:$D,"Missed")</f>
        <v>119</v>
      </c>
      <c r="C8" s="17">
        <f>COUNTIF('sample14-gemma4-e4b'!$D:$D,"Missed")</f>
        <v>127</v>
      </c>
      <c r="D8" s="17">
        <f>COUNTIF('sample14-version1-llama3.3-70b'!$D:$D,"Missed")</f>
        <v>111</v>
      </c>
    </row>
    <row r="9" spans="1:4" x14ac:dyDescent="0.25">
      <c r="A9" s="10" t="s">
        <v>395</v>
      </c>
      <c r="B9" s="11">
        <f>B6+B7+B8</f>
        <v>136</v>
      </c>
      <c r="C9" s="11">
        <f>C6+C7+C8</f>
        <v>150</v>
      </c>
      <c r="D9" s="11">
        <f>D6+D7+D8</f>
        <v>142</v>
      </c>
    </row>
    <row r="10" spans="1:4" x14ac:dyDescent="0.25">
      <c r="A10" s="1"/>
      <c r="B10" s="1"/>
      <c r="C10" s="1"/>
      <c r="D10" s="1"/>
    </row>
    <row r="11" spans="1:4" x14ac:dyDescent="0.25">
      <c r="A11" s="18" t="s">
        <v>396</v>
      </c>
      <c r="B11" s="1"/>
      <c r="C11" s="1"/>
      <c r="D11" s="1"/>
    </row>
    <row r="12" spans="1:4" x14ac:dyDescent="0.25">
      <c r="A12" s="12" t="s">
        <v>397</v>
      </c>
      <c r="B12" s="27">
        <f>IFERROR(B6/B9,0)</f>
        <v>0.11029411764705882</v>
      </c>
      <c r="C12" s="27">
        <f>IFERROR(C6/C9,0)</f>
        <v>5.3333333333333337E-2</v>
      </c>
      <c r="D12" s="27">
        <f>IFERROR(D6/D9,0)</f>
        <v>0.1619718309859155</v>
      </c>
    </row>
    <row r="13" spans="1:4" x14ac:dyDescent="0.25">
      <c r="A13" s="14" t="s">
        <v>398</v>
      </c>
      <c r="B13" s="28">
        <f>IFERROR(B7/B9,0)</f>
        <v>1.4705882352941176E-2</v>
      </c>
      <c r="C13" s="28">
        <f>IFERROR(C7/C9,0)</f>
        <v>0.1</v>
      </c>
      <c r="D13" s="28">
        <f>IFERROR(D7/D9,0)</f>
        <v>5.6338028169014086E-2</v>
      </c>
    </row>
    <row r="14" spans="1:4" x14ac:dyDescent="0.25">
      <c r="A14" s="16" t="s">
        <v>399</v>
      </c>
      <c r="B14" s="29">
        <f>IFERROR(B8/B9,0)</f>
        <v>0.875</v>
      </c>
      <c r="C14" s="29">
        <f>IFERROR(C8/C9,0)</f>
        <v>0.84666666666666668</v>
      </c>
      <c r="D14" s="29">
        <f>IFERROR(D8/D9,0)</f>
        <v>0.78169014084507038</v>
      </c>
    </row>
    <row r="16" spans="1:4" x14ac:dyDescent="0.25">
      <c r="A16" s="30" t="s">
        <v>400</v>
      </c>
    </row>
    <row r="17" spans="1:4" x14ac:dyDescent="0.25">
      <c r="A17" s="31" t="s">
        <v>401</v>
      </c>
      <c r="B17" s="32">
        <f>IFERROR(B6/B5,0)</f>
        <v>0.88235294117647056</v>
      </c>
      <c r="C17" s="32">
        <f>IFERROR(C6/C5,0)</f>
        <v>0.34782608695652173</v>
      </c>
      <c r="D17" s="32">
        <f>IFERROR(D6/D5,0)</f>
        <v>0.74193548387096775</v>
      </c>
    </row>
    <row r="18" spans="1:4" x14ac:dyDescent="0.25">
      <c r="A18" s="31" t="s">
        <v>402</v>
      </c>
      <c r="B18" s="32">
        <f>IFERROR((B4-B8)/B4,0)</f>
        <v>0.11194029850746269</v>
      </c>
      <c r="C18" s="32">
        <f>IFERROR((C4-C8)/C4,0)</f>
        <v>5.2238805970149252E-2</v>
      </c>
      <c r="D18" s="32">
        <f>IFERROR((D4-D8)/D4,0)</f>
        <v>0.17164179104477612</v>
      </c>
    </row>
    <row r="19" spans="1:4" x14ac:dyDescent="0.25">
      <c r="A19" s="31" t="s">
        <v>403</v>
      </c>
      <c r="B19" s="32">
        <f>IFERROR(2*B17*B18/(B17+B18),0)</f>
        <v>0.19867549668874174</v>
      </c>
      <c r="C19" s="32">
        <f>IFERROR(2*C17*C18/(C17+C18),0)</f>
        <v>9.0835360908353605E-2</v>
      </c>
      <c r="D19" s="32">
        <f>IFERROR(2*D17*D18/(D17+D18),0)</f>
        <v>0.27878787878787875</v>
      </c>
    </row>
    <row r="21" spans="1:4" x14ac:dyDescent="0.25">
      <c r="A21" s="23" t="s">
        <v>404</v>
      </c>
    </row>
    <row r="22" spans="1:4" x14ac:dyDescent="0.25">
      <c r="A22" s="23" t="s">
        <v>405</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Sample14-Manual annotation</vt:lpstr>
      <vt:lpstr>Reference (JSON)</vt:lpstr>
      <vt:lpstr>sample14-llama3.1-8b</vt:lpstr>
      <vt:lpstr>sample14-gemma4-e4b</vt:lpstr>
      <vt:lpstr>sample14-version1-llama3.3-70b</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Nahid Zeinali</cp:lastModifiedBy>
  <dcterms:created xsi:type="dcterms:W3CDTF">2026-09-21T16:17:46Z</dcterms:created>
  <dcterms:modified xsi:type="dcterms:W3CDTF">2026-10-02T19:44:12Z</dcterms:modified>
</cp:coreProperties>
</file>